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codeName="ThisWorkbook"/>
  <mc:AlternateContent xmlns:mc="http://schemas.openxmlformats.org/markup-compatibility/2006">
    <mc:Choice Requires="x15">
      <x15ac:absPath xmlns:x15ac="http://schemas.microsoft.com/office/spreadsheetml/2010/11/ac" url="https://creativecorebusiness.sharepoint.com/sites/CreativeAcademy/Shared Documents/Creative LABS/Minds_SaaS_RGPD/01-CDC-Cahier-des-Charges/"/>
    </mc:Choice>
  </mc:AlternateContent>
  <xr:revisionPtr revIDLastSave="337" documentId="8_{26253169-F65C-4B4C-9FDD-A1B54F670931}" xr6:coauthVersionLast="47" xr6:coauthVersionMax="47" xr10:uidLastSave="{94631F6B-C05A-4537-8B5B-2D5C50A46712}"/>
  <bookViews>
    <workbookView xWindow="-120" yWindow="-120" windowWidth="29040" windowHeight="15840" tabRatio="555" firstSheet="1" activeTab="2" xr2:uid="{00000000-000D-0000-FFFF-FFFF00000000}"/>
  </bookViews>
  <sheets>
    <sheet name="FR_Définitions" sheetId="1" r:id="rId1"/>
    <sheet name="LookUp_Definition" sheetId="12" r:id="rId2"/>
    <sheet name="Registre de traitement" sheetId="2" r:id="rId3"/>
    <sheet name="Mapping_Registre_fichier" sheetId="10" r:id="rId4"/>
    <sheet name="Mapping_Registre_bdd" sheetId="8" r:id="rId5"/>
    <sheet name="Protection données personnelles" sheetId="7" r:id="rId6"/>
    <sheet name="Sous-traitant DCP" sheetId="5" r:id="rId7"/>
    <sheet name="Recueil de violation" sheetId="4" r:id="rId8"/>
    <sheet name="Registre des demandes" sheetId="6" r:id="rId9"/>
    <sheet name="Préconisations" sheetId="11" r:id="rId10"/>
    <sheet name="Echelles " sheetId="3" r:id="rId11"/>
  </sheets>
  <definedNames>
    <definedName name="_xlnm._FilterDatabase" localSheetId="2" hidden="1">'Registre de traitement'!$A$6:$HK$87</definedName>
    <definedName name="_xlnm._FilterDatabase" localSheetId="9" hidden="1">Préconisations!$A$1:$H$39</definedName>
    <definedName name="_xlnm._FilterDatabase" localSheetId="1" hidden="1">LookUp_Definition!$A$1:$D$17</definedName>
    <definedName name="_xlnm.Print_Titles" localSheetId="7">'Recueil de violation'!$3:$3</definedName>
    <definedName name="_xlnm.Print_Titles" localSheetId="2">'Registre de traitement'!$B:$E,'Registre de traitement'!$5:$6</definedName>
    <definedName name="_xlnm.Print_Titles" localSheetId="6">'Sous-traitant DCP'!$4:$4</definedName>
    <definedName name="_xlnm.Print_Area" localSheetId="10">'Echelles '!$A$1:$C$101</definedName>
    <definedName name="_xlnm.Print_Area" localSheetId="7">'Recueil de violation'!$A$1:$L$20</definedName>
    <definedName name="_xlnm.Print_Area" localSheetId="8">'Registre des demandes'!$A$1:$J$20</definedName>
    <definedName name="_xlnm.Print_Area" localSheetId="6">'Sous-traitant DCP'!$A$1:$I$21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10" l="1"/>
  <c r="C13" i="10"/>
  <c r="C24" i="10"/>
  <c r="C32" i="10"/>
  <c r="C9" i="10"/>
  <c r="C29" i="10"/>
  <c r="C8" i="10"/>
  <c r="C36" i="10"/>
  <c r="C27" i="10"/>
  <c r="C26" i="10"/>
  <c r="C38" i="10"/>
  <c r="C5" i="10"/>
  <c r="C16" i="10"/>
  <c r="C14" i="10"/>
  <c r="C15" i="10"/>
  <c r="C19" i="10"/>
  <c r="C17" i="10"/>
  <c r="C18" i="10"/>
  <c r="C6" i="10"/>
  <c r="C37" i="10"/>
  <c r="C25" i="10"/>
  <c r="C3" i="10"/>
  <c r="C31" i="10"/>
  <c r="C35" i="10"/>
  <c r="C23" i="10"/>
  <c r="C11" i="10"/>
  <c r="C22" i="10"/>
  <c r="C12" i="10"/>
  <c r="C28" i="10"/>
  <c r="C21" i="10"/>
  <c r="C2" i="10"/>
  <c r="C20" i="10"/>
  <c r="C4" i="10"/>
  <c r="C34" i="10"/>
  <c r="C39" i="10"/>
  <c r="C33" i="10"/>
  <c r="C7" i="10"/>
  <c r="C30" i="10"/>
  <c r="BH86" i="2"/>
  <c r="BF86" i="2"/>
  <c r="BD86" i="2"/>
  <c r="BB86" i="2"/>
  <c r="AZ86" i="2"/>
  <c r="AX86" i="2"/>
  <c r="AV86" i="2"/>
  <c r="AT86" i="2"/>
  <c r="AR86" i="2"/>
  <c r="AP86" i="2"/>
  <c r="BH9" i="2"/>
  <c r="BF9" i="2"/>
  <c r="BD9" i="2"/>
  <c r="BB9" i="2"/>
  <c r="AZ9" i="2"/>
  <c r="AX9" i="2"/>
  <c r="AV9" i="2"/>
  <c r="AT9" i="2"/>
  <c r="AR9" i="2"/>
  <c r="AP9" i="2"/>
  <c r="AN85" i="2"/>
  <c r="BH8" i="2"/>
  <c r="BF8" i="2"/>
  <c r="BD8" i="2"/>
  <c r="BB8" i="2"/>
  <c r="AZ8" i="2"/>
  <c r="AX8" i="2"/>
  <c r="AV8" i="2"/>
  <c r="AT8" i="2"/>
  <c r="AR8" i="2"/>
  <c r="AP8" i="2"/>
  <c r="AN84" i="2"/>
  <c r="AN83" i="2"/>
  <c r="BH10" i="2"/>
  <c r="BF10" i="2"/>
  <c r="BD10" i="2"/>
  <c r="BB10" i="2"/>
  <c r="AZ10" i="2"/>
  <c r="AX10" i="2"/>
  <c r="AV10" i="2"/>
  <c r="AT10" i="2"/>
  <c r="AR10" i="2"/>
  <c r="AP10" i="2"/>
  <c r="BH82" i="2"/>
  <c r="BF82" i="2"/>
  <c r="BD82" i="2"/>
  <c r="BB82" i="2"/>
  <c r="AZ82" i="2"/>
  <c r="AX82" i="2"/>
  <c r="AV82" i="2"/>
  <c r="AT82" i="2"/>
  <c r="AR82" i="2"/>
  <c r="AP82" i="2"/>
  <c r="AP81" i="2"/>
  <c r="AP80" i="2"/>
  <c r="AP79" i="2"/>
  <c r="AP78" i="2"/>
  <c r="AP77" i="2"/>
  <c r="AP76" i="2"/>
  <c r="AP75" i="2"/>
  <c r="AP74" i="2"/>
  <c r="AP73" i="2"/>
  <c r="AP72" i="2"/>
  <c r="AP71" i="2"/>
  <c r="AP70" i="2"/>
  <c r="AP69" i="2"/>
  <c r="AP68" i="2"/>
  <c r="AP67" i="2"/>
  <c r="AP66" i="2"/>
  <c r="AP65" i="2"/>
  <c r="AP64" i="2"/>
  <c r="AP63" i="2"/>
  <c r="AP62" i="2"/>
  <c r="AP61" i="2"/>
  <c r="AP60" i="2"/>
  <c r="AP59" i="2"/>
  <c r="AP58" i="2"/>
  <c r="AP57" i="2"/>
  <c r="AP56" i="2"/>
  <c r="AP55" i="2"/>
  <c r="AP54" i="2"/>
  <c r="AP53" i="2"/>
  <c r="AP52" i="2"/>
  <c r="AP51" i="2"/>
  <c r="AP50" i="2"/>
  <c r="AP49" i="2"/>
  <c r="AP48" i="2"/>
  <c r="AP47" i="2"/>
  <c r="AP46" i="2"/>
  <c r="AP45" i="2"/>
  <c r="AP44" i="2"/>
  <c r="AP43" i="2"/>
  <c r="AP42" i="2"/>
  <c r="AP41" i="2"/>
  <c r="AP40" i="2"/>
  <c r="AP39" i="2"/>
  <c r="AP38" i="2"/>
  <c r="AP37" i="2"/>
  <c r="AP36" i="2"/>
  <c r="AP35" i="2"/>
  <c r="AP34" i="2"/>
  <c r="AP33" i="2"/>
  <c r="AP32" i="2"/>
  <c r="AP31" i="2"/>
  <c r="AP30" i="2"/>
  <c r="AP29" i="2"/>
  <c r="AP28" i="2"/>
  <c r="AP27" i="2"/>
  <c r="AP26" i="2"/>
  <c r="AP25" i="2"/>
  <c r="AP24" i="2"/>
  <c r="AP23" i="2"/>
  <c r="AP22" i="2"/>
  <c r="AP21" i="2"/>
  <c r="AP20" i="2"/>
  <c r="AP19" i="2"/>
  <c r="AP18" i="2"/>
  <c r="AP17" i="2"/>
  <c r="AP16" i="2"/>
  <c r="AP15" i="2"/>
  <c r="AP14" i="2"/>
  <c r="AP13" i="2"/>
  <c r="AP12" i="2"/>
  <c r="AP11" i="2"/>
  <c r="AT52" i="2"/>
  <c r="AT49" i="2"/>
  <c r="AV49" i="2"/>
  <c r="BD70" i="2"/>
  <c r="BD52" i="2"/>
  <c r="BD49" i="2"/>
  <c r="BH32" i="2"/>
  <c r="BF32" i="2"/>
  <c r="BD32" i="2"/>
  <c r="BB32" i="2"/>
  <c r="AZ32" i="2"/>
  <c r="AX32" i="2"/>
  <c r="AV32" i="2"/>
  <c r="AT32" i="2"/>
  <c r="AR32" i="2"/>
  <c r="BH27" i="2"/>
  <c r="BF27" i="2"/>
  <c r="BD27" i="2"/>
  <c r="BB27" i="2"/>
  <c r="AZ27" i="2"/>
  <c r="AX27" i="2"/>
  <c r="AV27" i="2"/>
  <c r="AT27" i="2"/>
  <c r="AR27" i="2"/>
  <c r="BI86" i="2" l="1"/>
  <c r="BI9" i="2"/>
  <c r="BI8" i="2"/>
  <c r="BI82" i="2"/>
  <c r="BI10" i="2"/>
  <c r="BI32" i="2"/>
  <c r="BI27" i="2"/>
  <c r="BH75" i="2"/>
  <c r="BH74" i="2"/>
  <c r="BH73" i="2"/>
  <c r="BH72" i="2"/>
  <c r="BH71" i="2"/>
  <c r="BH69" i="2"/>
  <c r="BH68" i="2"/>
  <c r="BH67" i="2"/>
  <c r="BH66" i="2"/>
  <c r="BH65" i="2"/>
  <c r="BH64" i="2"/>
  <c r="BH63" i="2"/>
  <c r="BH62" i="2"/>
  <c r="BH61" i="2"/>
  <c r="BH60" i="2"/>
  <c r="BH59" i="2"/>
  <c r="BH58" i="2"/>
  <c r="BH57" i="2"/>
  <c r="BH56" i="2"/>
  <c r="BH55" i="2"/>
  <c r="BH54" i="2"/>
  <c r="BH53" i="2"/>
  <c r="BH51" i="2"/>
  <c r="BH50" i="2"/>
  <c r="BH48" i="2"/>
  <c r="BH47" i="2"/>
  <c r="BH46" i="2"/>
  <c r="BH45" i="2"/>
  <c r="BH44" i="2"/>
  <c r="BH43" i="2"/>
  <c r="BH42" i="2"/>
  <c r="BH41" i="2"/>
  <c r="BH40" i="2"/>
  <c r="BH38" i="2"/>
  <c r="BH37" i="2"/>
  <c r="BH36" i="2"/>
  <c r="BH35" i="2"/>
  <c r="BH34" i="2"/>
  <c r="BH33" i="2"/>
  <c r="BH31" i="2"/>
  <c r="BH30" i="2"/>
  <c r="BH29" i="2"/>
  <c r="BH28" i="2"/>
  <c r="BH26" i="2"/>
  <c r="BH25" i="2"/>
  <c r="BH24" i="2"/>
  <c r="BH23" i="2"/>
  <c r="BH22" i="2"/>
  <c r="BH21" i="2"/>
  <c r="BH20" i="2"/>
  <c r="BH19" i="2"/>
  <c r="BH17" i="2"/>
  <c r="BH16" i="2"/>
  <c r="BH15" i="2"/>
  <c r="BH14" i="2"/>
  <c r="BH13" i="2"/>
  <c r="BH12" i="2"/>
  <c r="BH11" i="2"/>
  <c r="BH7" i="2"/>
  <c r="BF75" i="2"/>
  <c r="BF74" i="2"/>
  <c r="BF73" i="2"/>
  <c r="BF72" i="2"/>
  <c r="BF71" i="2"/>
  <c r="BF69" i="2"/>
  <c r="BF68" i="2"/>
  <c r="BF67" i="2"/>
  <c r="BF66" i="2"/>
  <c r="BF65" i="2"/>
  <c r="BF64" i="2"/>
  <c r="BF63" i="2"/>
  <c r="BF62" i="2"/>
  <c r="BF61" i="2"/>
  <c r="BF60" i="2"/>
  <c r="BF59" i="2"/>
  <c r="BF58" i="2"/>
  <c r="BF57" i="2"/>
  <c r="BF56" i="2"/>
  <c r="BF55" i="2"/>
  <c r="BF54" i="2"/>
  <c r="BF53" i="2"/>
  <c r="BF51" i="2"/>
  <c r="BF50" i="2"/>
  <c r="BF48" i="2"/>
  <c r="BF47" i="2"/>
  <c r="BF46" i="2"/>
  <c r="BF45" i="2"/>
  <c r="BF44" i="2"/>
  <c r="BF43" i="2"/>
  <c r="BF42" i="2"/>
  <c r="BF41" i="2"/>
  <c r="BF40" i="2"/>
  <c r="BF38" i="2"/>
  <c r="BF37" i="2"/>
  <c r="BF36" i="2"/>
  <c r="BF35" i="2"/>
  <c r="BF34" i="2"/>
  <c r="BF33" i="2"/>
  <c r="BF31" i="2"/>
  <c r="BF30" i="2"/>
  <c r="BF29" i="2"/>
  <c r="BF28" i="2"/>
  <c r="BF26" i="2"/>
  <c r="BF25" i="2"/>
  <c r="BF24" i="2"/>
  <c r="BF23" i="2"/>
  <c r="BF22" i="2"/>
  <c r="BF21" i="2"/>
  <c r="BF20" i="2"/>
  <c r="BF19" i="2"/>
  <c r="BF17" i="2"/>
  <c r="BF16" i="2"/>
  <c r="BF15" i="2"/>
  <c r="BF14" i="2"/>
  <c r="BF13" i="2"/>
  <c r="BF12" i="2"/>
  <c r="BF11" i="2"/>
  <c r="BF7" i="2"/>
  <c r="BD75" i="2"/>
  <c r="BD74" i="2"/>
  <c r="BD73" i="2"/>
  <c r="BD72" i="2"/>
  <c r="BD71" i="2"/>
  <c r="BD69" i="2"/>
  <c r="BD68" i="2"/>
  <c r="BD67" i="2"/>
  <c r="BD66" i="2"/>
  <c r="BD65" i="2"/>
  <c r="BD64" i="2"/>
  <c r="BD63" i="2"/>
  <c r="BD62" i="2"/>
  <c r="BD61" i="2"/>
  <c r="BD60" i="2"/>
  <c r="BD59" i="2"/>
  <c r="BD58" i="2"/>
  <c r="BD57" i="2"/>
  <c r="BD56" i="2"/>
  <c r="BD55" i="2"/>
  <c r="BD54" i="2"/>
  <c r="BD53" i="2"/>
  <c r="BD51" i="2"/>
  <c r="BD50" i="2"/>
  <c r="BD48" i="2"/>
  <c r="BD47" i="2"/>
  <c r="BD46" i="2"/>
  <c r="BD45" i="2"/>
  <c r="BD44" i="2"/>
  <c r="BD43" i="2"/>
  <c r="BD42" i="2"/>
  <c r="BD41" i="2"/>
  <c r="BD40" i="2"/>
  <c r="BD38" i="2"/>
  <c r="BD37" i="2"/>
  <c r="BD36" i="2"/>
  <c r="BD35" i="2"/>
  <c r="BD34" i="2"/>
  <c r="BD33" i="2"/>
  <c r="BD31" i="2"/>
  <c r="BD30" i="2"/>
  <c r="BD29" i="2"/>
  <c r="BD28" i="2"/>
  <c r="BD26" i="2"/>
  <c r="BD25" i="2"/>
  <c r="BD24" i="2"/>
  <c r="BD23" i="2"/>
  <c r="BD22" i="2"/>
  <c r="BD21" i="2"/>
  <c r="BD20" i="2"/>
  <c r="BD19" i="2"/>
  <c r="BD17" i="2"/>
  <c r="BD16" i="2"/>
  <c r="BD15" i="2"/>
  <c r="BD14" i="2"/>
  <c r="BD13" i="2"/>
  <c r="BD12" i="2"/>
  <c r="BD11" i="2"/>
  <c r="BD7" i="2"/>
  <c r="BB75" i="2"/>
  <c r="BB74" i="2"/>
  <c r="BB73" i="2"/>
  <c r="BB72" i="2"/>
  <c r="BB71" i="2"/>
  <c r="BB69" i="2"/>
  <c r="BB68" i="2"/>
  <c r="BB67" i="2"/>
  <c r="BB66" i="2"/>
  <c r="BB65" i="2"/>
  <c r="BB64" i="2"/>
  <c r="BB63" i="2"/>
  <c r="BB62" i="2"/>
  <c r="BB61" i="2"/>
  <c r="BB60" i="2"/>
  <c r="BB59" i="2"/>
  <c r="BB58" i="2"/>
  <c r="BB57" i="2"/>
  <c r="BB56" i="2"/>
  <c r="BB55" i="2"/>
  <c r="BB54" i="2"/>
  <c r="BB53" i="2"/>
  <c r="BB51" i="2"/>
  <c r="BB50" i="2"/>
  <c r="BB48" i="2"/>
  <c r="BB47" i="2"/>
  <c r="BB46" i="2"/>
  <c r="BB45" i="2"/>
  <c r="BB44" i="2"/>
  <c r="BB43" i="2"/>
  <c r="BB42" i="2"/>
  <c r="BB41" i="2"/>
  <c r="BB40" i="2"/>
  <c r="BB38" i="2"/>
  <c r="BB37" i="2"/>
  <c r="BB36" i="2"/>
  <c r="BB35" i="2"/>
  <c r="BB34" i="2"/>
  <c r="BB33" i="2"/>
  <c r="BB31" i="2"/>
  <c r="BB30" i="2"/>
  <c r="BB29" i="2"/>
  <c r="BB28" i="2"/>
  <c r="BB26" i="2"/>
  <c r="BB25" i="2"/>
  <c r="BB24" i="2"/>
  <c r="BB23" i="2"/>
  <c r="BB22" i="2"/>
  <c r="BB21" i="2"/>
  <c r="BB20" i="2"/>
  <c r="BB19" i="2"/>
  <c r="BB17" i="2"/>
  <c r="BB16" i="2"/>
  <c r="BB15" i="2"/>
  <c r="BB14" i="2"/>
  <c r="BB13" i="2"/>
  <c r="BB12" i="2"/>
  <c r="BB11" i="2"/>
  <c r="BB7" i="2"/>
  <c r="AZ75" i="2"/>
  <c r="AZ74" i="2"/>
  <c r="AZ73" i="2"/>
  <c r="AZ72" i="2"/>
  <c r="AZ71" i="2"/>
  <c r="AZ69" i="2"/>
  <c r="AZ68" i="2"/>
  <c r="AZ67" i="2"/>
  <c r="AZ66" i="2"/>
  <c r="AZ65" i="2"/>
  <c r="AZ64" i="2"/>
  <c r="AZ63" i="2"/>
  <c r="AZ62" i="2"/>
  <c r="AZ61" i="2"/>
  <c r="AZ60" i="2"/>
  <c r="AZ59" i="2"/>
  <c r="AZ58" i="2"/>
  <c r="AZ57" i="2"/>
  <c r="AZ56" i="2"/>
  <c r="AZ55" i="2"/>
  <c r="AZ54" i="2"/>
  <c r="AZ53" i="2"/>
  <c r="AZ51" i="2"/>
  <c r="AZ50" i="2"/>
  <c r="AZ48" i="2"/>
  <c r="AZ47" i="2"/>
  <c r="AZ46" i="2"/>
  <c r="AZ45" i="2"/>
  <c r="AZ44" i="2"/>
  <c r="AZ43" i="2"/>
  <c r="AZ42" i="2"/>
  <c r="AZ41" i="2"/>
  <c r="AZ40" i="2"/>
  <c r="AZ38" i="2"/>
  <c r="AZ37" i="2"/>
  <c r="AZ36" i="2"/>
  <c r="AZ35" i="2"/>
  <c r="AZ34" i="2"/>
  <c r="AZ33" i="2"/>
  <c r="AZ31" i="2"/>
  <c r="AZ30" i="2"/>
  <c r="AZ29" i="2"/>
  <c r="AZ28" i="2"/>
  <c r="AZ26" i="2"/>
  <c r="AZ25" i="2"/>
  <c r="AZ24" i="2"/>
  <c r="AZ23" i="2"/>
  <c r="AZ22" i="2"/>
  <c r="AZ21" i="2"/>
  <c r="AZ20" i="2"/>
  <c r="AZ19" i="2"/>
  <c r="AZ17" i="2"/>
  <c r="AZ16" i="2"/>
  <c r="AZ15" i="2"/>
  <c r="AZ14" i="2"/>
  <c r="AZ13" i="2"/>
  <c r="AZ12" i="2"/>
  <c r="AZ11" i="2"/>
  <c r="AZ7" i="2"/>
  <c r="AX75" i="2"/>
  <c r="AX74" i="2"/>
  <c r="AX73" i="2"/>
  <c r="AX72" i="2"/>
  <c r="AX71" i="2"/>
  <c r="AX69" i="2"/>
  <c r="AX68" i="2"/>
  <c r="AX67" i="2"/>
  <c r="AX66" i="2"/>
  <c r="AX65" i="2"/>
  <c r="AX64" i="2"/>
  <c r="AX63" i="2"/>
  <c r="AX62" i="2"/>
  <c r="AX61" i="2"/>
  <c r="AX60" i="2"/>
  <c r="AX59" i="2"/>
  <c r="AX58" i="2"/>
  <c r="AX57" i="2"/>
  <c r="AX56" i="2"/>
  <c r="AX55" i="2"/>
  <c r="AX54" i="2"/>
  <c r="AX53" i="2"/>
  <c r="AX51" i="2"/>
  <c r="AX50" i="2"/>
  <c r="AX48" i="2"/>
  <c r="AX47" i="2"/>
  <c r="AX46" i="2"/>
  <c r="AX45" i="2"/>
  <c r="AX44" i="2"/>
  <c r="AX43" i="2"/>
  <c r="AX42" i="2"/>
  <c r="AX41" i="2"/>
  <c r="AX40" i="2"/>
  <c r="AX38" i="2"/>
  <c r="AX37" i="2"/>
  <c r="AX36" i="2"/>
  <c r="AX35" i="2"/>
  <c r="AX34" i="2"/>
  <c r="AX33" i="2"/>
  <c r="AX31" i="2"/>
  <c r="AX30" i="2"/>
  <c r="AX29" i="2"/>
  <c r="AX28" i="2"/>
  <c r="AX26" i="2"/>
  <c r="AX25" i="2"/>
  <c r="AX24" i="2"/>
  <c r="AX23" i="2"/>
  <c r="AX22" i="2"/>
  <c r="AX21" i="2"/>
  <c r="AX20" i="2"/>
  <c r="AX19" i="2"/>
  <c r="AX17" i="2"/>
  <c r="AX16" i="2"/>
  <c r="AX15" i="2"/>
  <c r="AX14" i="2"/>
  <c r="AX13" i="2"/>
  <c r="AX12" i="2"/>
  <c r="AX11" i="2"/>
  <c r="AX7" i="2"/>
  <c r="AV75" i="2"/>
  <c r="AV74" i="2"/>
  <c r="AV73" i="2"/>
  <c r="AV72" i="2"/>
  <c r="AV71" i="2"/>
  <c r="AV69" i="2"/>
  <c r="AV68" i="2"/>
  <c r="AV67" i="2"/>
  <c r="AV66" i="2"/>
  <c r="AV65" i="2"/>
  <c r="AV64" i="2"/>
  <c r="AV63" i="2"/>
  <c r="AV62" i="2"/>
  <c r="AV61" i="2"/>
  <c r="AV60" i="2"/>
  <c r="AV59" i="2"/>
  <c r="AV58" i="2"/>
  <c r="AV57" i="2"/>
  <c r="AV56" i="2"/>
  <c r="AV55" i="2"/>
  <c r="AV54" i="2"/>
  <c r="AV53" i="2"/>
  <c r="AV51" i="2"/>
  <c r="AV50" i="2"/>
  <c r="AV48" i="2"/>
  <c r="AV47" i="2"/>
  <c r="AV46" i="2"/>
  <c r="AV45" i="2"/>
  <c r="AV44" i="2"/>
  <c r="AV43" i="2"/>
  <c r="AV42" i="2"/>
  <c r="AV41" i="2"/>
  <c r="AV40" i="2"/>
  <c r="AV38" i="2"/>
  <c r="AV37" i="2"/>
  <c r="AV36" i="2"/>
  <c r="AV35" i="2"/>
  <c r="AV34" i="2"/>
  <c r="AV33" i="2"/>
  <c r="AV31" i="2"/>
  <c r="AV30" i="2"/>
  <c r="AV29" i="2"/>
  <c r="AV28" i="2"/>
  <c r="AV26" i="2"/>
  <c r="AV25" i="2"/>
  <c r="AV24" i="2"/>
  <c r="AV23" i="2"/>
  <c r="AV22" i="2"/>
  <c r="AV21" i="2"/>
  <c r="AV20" i="2"/>
  <c r="AV19" i="2"/>
  <c r="AV17" i="2"/>
  <c r="AV16" i="2"/>
  <c r="AV15" i="2"/>
  <c r="AV14" i="2"/>
  <c r="AV13" i="2"/>
  <c r="AV12" i="2"/>
  <c r="AV11" i="2"/>
  <c r="AV7" i="2"/>
  <c r="AT75" i="2"/>
  <c r="AT74" i="2"/>
  <c r="AT73" i="2"/>
  <c r="AT72" i="2"/>
  <c r="AT71" i="2"/>
  <c r="AT69" i="2"/>
  <c r="AT68" i="2"/>
  <c r="AT67" i="2"/>
  <c r="AT66" i="2"/>
  <c r="AT65" i="2"/>
  <c r="AT64" i="2"/>
  <c r="AT63" i="2"/>
  <c r="AT62" i="2"/>
  <c r="AT61" i="2"/>
  <c r="AT60" i="2"/>
  <c r="AT59" i="2"/>
  <c r="AT58" i="2"/>
  <c r="AT57" i="2"/>
  <c r="AT56" i="2"/>
  <c r="AT55" i="2"/>
  <c r="AT54" i="2"/>
  <c r="AT53" i="2"/>
  <c r="AT51" i="2"/>
  <c r="AT50" i="2"/>
  <c r="AT48" i="2"/>
  <c r="AT47" i="2"/>
  <c r="AT46" i="2"/>
  <c r="AT45" i="2"/>
  <c r="AT44" i="2"/>
  <c r="AT43" i="2"/>
  <c r="AT42" i="2"/>
  <c r="AT41" i="2"/>
  <c r="AT40" i="2"/>
  <c r="AT38" i="2"/>
  <c r="AT37" i="2"/>
  <c r="AT36" i="2"/>
  <c r="AT35" i="2"/>
  <c r="AT34" i="2"/>
  <c r="AT33" i="2"/>
  <c r="AT31" i="2"/>
  <c r="AT30" i="2"/>
  <c r="AT29" i="2"/>
  <c r="AT28" i="2"/>
  <c r="AT26" i="2"/>
  <c r="AT25" i="2"/>
  <c r="AT24" i="2"/>
  <c r="AT23" i="2"/>
  <c r="AT22" i="2"/>
  <c r="AT21" i="2"/>
  <c r="AT20" i="2"/>
  <c r="AT19" i="2"/>
  <c r="AT17" i="2"/>
  <c r="AT16" i="2"/>
  <c r="AT15" i="2"/>
  <c r="AT14" i="2"/>
  <c r="AT13" i="2"/>
  <c r="AT12" i="2"/>
  <c r="AT11" i="2"/>
  <c r="AT7" i="2"/>
  <c r="AR75" i="2"/>
  <c r="AR74" i="2"/>
  <c r="AR73" i="2"/>
  <c r="AR72" i="2"/>
  <c r="AR71" i="2"/>
  <c r="AR69" i="2"/>
  <c r="AR68" i="2"/>
  <c r="AR67" i="2"/>
  <c r="AR66" i="2"/>
  <c r="AR65" i="2"/>
  <c r="AR64" i="2"/>
  <c r="AR63" i="2"/>
  <c r="AR62" i="2"/>
  <c r="AR61" i="2"/>
  <c r="AR60" i="2"/>
  <c r="AR59" i="2"/>
  <c r="AR58" i="2"/>
  <c r="AR57" i="2"/>
  <c r="AR56" i="2"/>
  <c r="AR55" i="2"/>
  <c r="AR54" i="2"/>
  <c r="AR53" i="2"/>
  <c r="AR51" i="2"/>
  <c r="AR50" i="2"/>
  <c r="AR48" i="2"/>
  <c r="AR47" i="2"/>
  <c r="AR46" i="2"/>
  <c r="AR45" i="2"/>
  <c r="AR44" i="2"/>
  <c r="AR43" i="2"/>
  <c r="AR42" i="2"/>
  <c r="AR41" i="2"/>
  <c r="AR40" i="2"/>
  <c r="AR38" i="2"/>
  <c r="AR37" i="2"/>
  <c r="AR36" i="2"/>
  <c r="AR35" i="2"/>
  <c r="AR34" i="2"/>
  <c r="AR33" i="2"/>
  <c r="AR31" i="2"/>
  <c r="AR30" i="2"/>
  <c r="AR29" i="2"/>
  <c r="AR28" i="2"/>
  <c r="AR26" i="2"/>
  <c r="AR25" i="2"/>
  <c r="AR24" i="2"/>
  <c r="AR23" i="2"/>
  <c r="AR22" i="2"/>
  <c r="AR21" i="2"/>
  <c r="AR20" i="2"/>
  <c r="AR19" i="2"/>
  <c r="AR17" i="2"/>
  <c r="AR16" i="2"/>
  <c r="AR15" i="2"/>
  <c r="AR14" i="2"/>
  <c r="AR13" i="2"/>
  <c r="AR12" i="2"/>
  <c r="AR11" i="2"/>
  <c r="AR7" i="2"/>
  <c r="AP7" i="2"/>
  <c r="AP85" i="2" s="1"/>
  <c r="AP84" i="2" l="1"/>
  <c r="AP83" i="2"/>
  <c r="BI15" i="2"/>
  <c r="BI16" i="2"/>
  <c r="BI17" i="2"/>
  <c r="BI12" i="2"/>
  <c r="BI7" i="2"/>
  <c r="BI13" i="2"/>
  <c r="BI14" i="2"/>
  <c r="BI25" i="2"/>
  <c r="BI34" i="2"/>
  <c r="BI69" i="2"/>
  <c r="BI43" i="2"/>
  <c r="BI61" i="2"/>
  <c r="BI53" i="2"/>
  <c r="BI54" i="2"/>
  <c r="BI35" i="2"/>
  <c r="BI26" i="2"/>
  <c r="BI44" i="2"/>
  <c r="BI62" i="2"/>
  <c r="BI31" i="2"/>
  <c r="BI50" i="2"/>
  <c r="BI59" i="2"/>
  <c r="BI67" i="2"/>
  <c r="BI55" i="2"/>
  <c r="BI63" i="2"/>
  <c r="BI23" i="2"/>
  <c r="BI41" i="2"/>
  <c r="BI24" i="2"/>
  <c r="BI33" i="2"/>
  <c r="BI42" i="2"/>
  <c r="BI51" i="2"/>
  <c r="BI60" i="2"/>
  <c r="BI45" i="2"/>
  <c r="BI28" i="2"/>
  <c r="BI36" i="2"/>
  <c r="BI19" i="2"/>
  <c r="BI68" i="2"/>
  <c r="BI71" i="2"/>
  <c r="BI72" i="2"/>
  <c r="BI20" i="2"/>
  <c r="BI29" i="2"/>
  <c r="BI37" i="2"/>
  <c r="BI46" i="2"/>
  <c r="BI56" i="2"/>
  <c r="BI64" i="2"/>
  <c r="BI73" i="2"/>
  <c r="BI11" i="2"/>
  <c r="BI21" i="2"/>
  <c r="BI38" i="2"/>
  <c r="BI47" i="2"/>
  <c r="BI57" i="2"/>
  <c r="BI65" i="2"/>
  <c r="BI74" i="2"/>
  <c r="BI22" i="2"/>
  <c r="BI30" i="2"/>
  <c r="BI40" i="2"/>
  <c r="BI48" i="2"/>
  <c r="BI58" i="2"/>
  <c r="BI66" i="2"/>
  <c r="BI75" i="2"/>
  <c r="BH81" i="2"/>
  <c r="BF81" i="2"/>
  <c r="BD81" i="2"/>
  <c r="BB81" i="2"/>
  <c r="AZ81" i="2"/>
  <c r="AX81" i="2"/>
  <c r="AV81" i="2"/>
  <c r="AT81" i="2"/>
  <c r="AR81" i="2"/>
  <c r="BH80" i="2"/>
  <c r="BF80" i="2"/>
  <c r="BD80" i="2"/>
  <c r="BB80" i="2"/>
  <c r="AZ80" i="2"/>
  <c r="AX80" i="2"/>
  <c r="AV80" i="2"/>
  <c r="AT80" i="2"/>
  <c r="AR80" i="2"/>
  <c r="BI81" i="2" l="1"/>
  <c r="BI80" i="2"/>
  <c r="BH79" i="2" l="1"/>
  <c r="BF79" i="2"/>
  <c r="BD79" i="2"/>
  <c r="BB79" i="2"/>
  <c r="AZ79" i="2"/>
  <c r="AX79" i="2"/>
  <c r="AV79" i="2"/>
  <c r="AT79" i="2"/>
  <c r="AR79" i="2"/>
  <c r="BH78" i="2"/>
  <c r="BF78" i="2"/>
  <c r="BD78" i="2"/>
  <c r="BB78" i="2"/>
  <c r="AZ78" i="2"/>
  <c r="AX78" i="2"/>
  <c r="AV78" i="2"/>
  <c r="AT78" i="2"/>
  <c r="AR78" i="2"/>
  <c r="BH76" i="2"/>
  <c r="BH85" i="2" s="1"/>
  <c r="BF76" i="2"/>
  <c r="BF85" i="2" s="1"/>
  <c r="BD76" i="2"/>
  <c r="BD85" i="2" s="1"/>
  <c r="BB76" i="2"/>
  <c r="BB85" i="2" s="1"/>
  <c r="AZ76" i="2"/>
  <c r="AZ85" i="2" s="1"/>
  <c r="AX76" i="2"/>
  <c r="AX85" i="2" s="1"/>
  <c r="AV76" i="2"/>
  <c r="AT76" i="2"/>
  <c r="AR76" i="2"/>
  <c r="AR85" i="2" s="1"/>
  <c r="AN87" i="2"/>
  <c r="AT85" i="2" l="1"/>
  <c r="AV85" i="2"/>
  <c r="AV83" i="2"/>
  <c r="AV84" i="2"/>
  <c r="AX83" i="2"/>
  <c r="AX84" i="2"/>
  <c r="AZ83" i="2"/>
  <c r="AZ84" i="2"/>
  <c r="BB84" i="2"/>
  <c r="BB83" i="2"/>
  <c r="BD83" i="2"/>
  <c r="BD84" i="2"/>
  <c r="BF84" i="2"/>
  <c r="BF83" i="2"/>
  <c r="AR84" i="2"/>
  <c r="AR83" i="2"/>
  <c r="BH83" i="2"/>
  <c r="BH84" i="2"/>
  <c r="AT83" i="2"/>
  <c r="AT84" i="2"/>
  <c r="BI76" i="2"/>
  <c r="BI79" i="2"/>
  <c r="BI78" i="2"/>
  <c r="AR87" i="2" l="1"/>
  <c r="BH87" i="2"/>
  <c r="BF87" i="2"/>
  <c r="BD87" i="2"/>
  <c r="BB87" i="2"/>
  <c r="AZ87" i="2"/>
  <c r="AX87" i="2"/>
  <c r="AV87" i="2"/>
  <c r="AT87" i="2"/>
  <c r="AP8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toshiba</author>
  </authors>
  <commentList>
    <comment ref="C58" authorId="0" shapeId="0" xr:uid="{00000000-0006-0000-0000-000001000000}">
      <text>
        <r>
          <rPr>
            <sz val="9"/>
            <color indexed="81"/>
            <rFont val="Tahoma"/>
            <family val="2"/>
          </rPr>
          <t xml:space="preserve">RGPD
le traitement est nécessaire à l'exécution d'un contrat auquel la personne concernée est partie ou à l'exécution de mesures précontractuelles prises à la demande de celle-ci
</t>
        </r>
      </text>
    </comment>
    <comment ref="C59" authorId="0" shapeId="0" xr:uid="{00000000-0006-0000-0000-000002000000}">
      <text>
        <r>
          <rPr>
            <sz val="9"/>
            <color indexed="81"/>
            <rFont val="Tahoma"/>
            <family val="2"/>
          </rPr>
          <t xml:space="preserve">RGPD
le traitement est nécessaire au respect d'une obligation légale à laquelle le responsable du traitement est soumis
</t>
        </r>
      </text>
    </comment>
    <comment ref="C60" authorId="0" shapeId="0" xr:uid="{00000000-0006-0000-0000-000003000000}">
      <text>
        <r>
          <rPr>
            <sz val="9"/>
            <color indexed="81"/>
            <rFont val="Tahoma"/>
            <family val="2"/>
          </rPr>
          <t xml:space="preserve">RGPD
le traitement est nécessaire à la sauvegarde des intérêts vitaux de la personne concernée ou d'une autre personne physique
</t>
        </r>
      </text>
    </comment>
    <comment ref="C61" authorId="0" shapeId="0" xr:uid="{00000000-0006-0000-0000-000004000000}">
      <text>
        <r>
          <rPr>
            <sz val="9"/>
            <color indexed="81"/>
            <rFont val="Tahoma"/>
            <family val="2"/>
          </rPr>
          <t xml:space="preserve">RGPD
le traitement est nécessaire à l'exécution d'une mission d'intérêt public ou relevant de l'exercice de l'autorité publique dont est investi le responsable du traitement;
</t>
        </r>
      </text>
    </comment>
    <comment ref="C62" authorId="0" shapeId="0" xr:uid="{00000000-0006-0000-0000-000005000000}">
      <text>
        <r>
          <rPr>
            <sz val="9"/>
            <color indexed="81"/>
            <rFont val="Tahoma"/>
            <family val="2"/>
          </rPr>
          <t xml:space="preserve">RGPD
le traitement est nécessaire aux fins des intérêts légitimes poursuivis par le responsable du traitement ou par un tiers, à moins que ne prévalent les intérêts ou les libertés et droits fondamentaux de la personne concernée qui exigent une protection des données à caractère personnel, notamment lorsque la personne concernée est un enfant.
</t>
        </r>
      </text>
    </comment>
    <comment ref="C63" authorId="0" shapeId="0" xr:uid="{00000000-0006-0000-0000-000006000000}">
      <text>
        <r>
          <rPr>
            <sz val="9"/>
            <color indexed="81"/>
            <rFont val="Tahoma"/>
            <family val="2"/>
          </rPr>
          <t>RGPD
la personne concernée doit consentir au traitement de ses données à caractère personnel pour une ou plusieurs finalités spécifiques</t>
        </r>
      </text>
    </comment>
    <comment ref="C67" authorId="0" shapeId="0" xr:uid="{00000000-0006-0000-0000-000007000000}">
      <text>
        <r>
          <rPr>
            <sz val="9"/>
            <color indexed="81"/>
            <rFont val="Tahoma"/>
            <family val="2"/>
          </rPr>
          <t xml:space="preserve">RGPD
le traitement est nécessaire à l'exécution d'un contrat auquel la personne concernée est partie ou à l'exécution de mesures précontractuelles prises à la demande de celle-ci
</t>
        </r>
      </text>
    </comment>
    <comment ref="C68" authorId="0" shapeId="0" xr:uid="{00000000-0006-0000-0000-000008000000}">
      <text>
        <r>
          <rPr>
            <sz val="9"/>
            <color indexed="81"/>
            <rFont val="Tahoma"/>
            <family val="2"/>
          </rPr>
          <t xml:space="preserve">RGPD
le traitement est nécessaire au respect d'une obligation légale à laquelle le responsable du traitement est soumis
</t>
        </r>
      </text>
    </comment>
    <comment ref="C69" authorId="0" shapeId="0" xr:uid="{00000000-0006-0000-0000-000009000000}">
      <text>
        <r>
          <rPr>
            <sz val="9"/>
            <color indexed="81"/>
            <rFont val="Tahoma"/>
            <family val="2"/>
          </rPr>
          <t xml:space="preserve">RGPD
le traitement est nécessaire à la sauvegarde des intérêts vitaux de la personne concernée ou d'une autre personne physique
</t>
        </r>
      </text>
    </comment>
    <comment ref="C70" authorId="0" shapeId="0" xr:uid="{00000000-0006-0000-0000-00000A000000}">
      <text>
        <r>
          <rPr>
            <sz val="9"/>
            <color indexed="81"/>
            <rFont val="Tahoma"/>
            <family val="2"/>
          </rPr>
          <t xml:space="preserve">RGPD
le traitement est nécessaire à l'exécution d'une mission d'intérêt public ou relevant de l'exercice de l'autorité publique dont est investi le responsable du traitement;
</t>
        </r>
      </text>
    </comment>
    <comment ref="C71" authorId="0" shapeId="0" xr:uid="{00000000-0006-0000-0000-00000B000000}">
      <text>
        <r>
          <rPr>
            <sz val="9"/>
            <color indexed="81"/>
            <rFont val="Tahoma"/>
            <family val="2"/>
          </rPr>
          <t xml:space="preserve">RGPD
le traitement est nécessaire aux fins des intérêts légitimes poursuivis par le responsable du traitement ou par un tiers, à moins que ne prévalent les intérêts ou les libertés et droits fondamentaux de la personne concernée qui exigent une protection des données à caractère personnel, notamment lorsque la personne concernée est un enfant.
</t>
        </r>
      </text>
    </comment>
    <comment ref="C72" authorId="0" shapeId="0" xr:uid="{00000000-0006-0000-0000-00000C000000}">
      <text>
        <r>
          <rPr>
            <sz val="9"/>
            <color indexed="81"/>
            <rFont val="Tahoma"/>
            <family val="2"/>
          </rPr>
          <t>RGPD
la personne concernée doit consentir au traitement de ses données à caractère personnel pour une ou plusieurs finalités spécifiques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tc={61FC3DF8-A043-49AA-9E7A-0899DF0A0476}</author>
  </authors>
  <commentList>
    <comment ref="W6" authorId="0" shapeId="0" xr:uid="{00000000-0006-0000-0100-000001000000}">
      <text>
        <t>[Threaded comment]
Your version of Excel allows you to read this threaded comment; however, any edits to it will get removed if the file is opened in a newer version of Excel. Learn more: https://go.microsoft.com/fwlink/?linkid=870924
Comment:
    Se référer aux listes d'analyse d'impact sur la protection des données (aipd) de la CNIL : liste-traitements-aipd-non-requise.pdf &amp; liste-traitements-avec-aipd-requise-v2.pdf</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tc={ACAF8B08-86EA-46FB-AC6E-60C17844C392}</author>
  </authors>
  <commentList>
    <comment ref="A25" authorId="0" shapeId="0" xr:uid="{ACAF8B08-86EA-46FB-AC6E-60C17844C392}">
      <text>
        <t>[Threaded comment]
Your version of Excel allows you to read this threaded comment; however, any edits to it will get removed if the file is opened in a newer version of Excel. Learn more: https://go.microsoft.com/fwlink/?linkid=870924
Comment:
    Se référer aux listes d'analyse d'impact sur la protection des données (aipd) de la CNIL : liste-traitements-aipd-non-requise.pdf &amp; liste-traitements-avec-aipd-requise-v2.pdf</t>
      </text>
    </comment>
  </commentList>
</comments>
</file>

<file path=xl/sharedStrings.xml><?xml version="1.0" encoding="utf-8"?>
<sst xmlns="http://schemas.openxmlformats.org/spreadsheetml/2006/main" count="3655" uniqueCount="1522">
  <si>
    <t>Registre des activités de traitement</t>
  </si>
  <si>
    <t>Identification du traitement</t>
  </si>
  <si>
    <t>ID</t>
  </si>
  <si>
    <t>Numéro unique d'identification du traitement</t>
  </si>
  <si>
    <t>Etablissement(s)</t>
  </si>
  <si>
    <t>Si l'organisme à plusieurs établissements, indique le ou les établissements concernés par ce traitement</t>
  </si>
  <si>
    <t>Nom du traitement</t>
  </si>
  <si>
    <t>Le nom du traitement doit être suffisamment explicite pour que l'on comprenne de manière macro ce que fait le traitement</t>
  </si>
  <si>
    <t>Date d'identification du traitement</t>
  </si>
  <si>
    <t>Date à laquelle le traitement a été créé dans le registre</t>
  </si>
  <si>
    <t>Date de mise à jour</t>
  </si>
  <si>
    <r>
      <rPr>
        <sz val="10"/>
        <color indexed="8"/>
        <rFont val="Arial"/>
        <family val="2"/>
      </rPr>
      <t xml:space="preserve">Date à laquelle les informations sur le traitement ont été mises à jour pour la dernière fois (raccourci clavier </t>
    </r>
    <r>
      <rPr>
        <b/>
        <sz val="10"/>
        <color indexed="8"/>
        <rFont val="Arial"/>
        <family val="2"/>
      </rPr>
      <t xml:space="preserve">CTRL ; </t>
    </r>
    <r>
      <rPr>
        <sz val="10"/>
        <color indexed="8"/>
        <rFont val="Arial"/>
        <family val="2"/>
      </rPr>
      <t>)</t>
    </r>
  </si>
  <si>
    <t>Historique de modifications</t>
  </si>
  <si>
    <t>Liste de l'ensemble des modifications qui ont été réalisées dans le registre sur le traitement, afin d'assurer une traçabilité des actions</t>
  </si>
  <si>
    <t>Data Protection Officer</t>
  </si>
  <si>
    <t>Nom et coordonnées de la personne ayant le rôle de DPO pour le traitement</t>
  </si>
  <si>
    <t>Responsable de traitement</t>
  </si>
  <si>
    <r>
      <rPr>
        <sz val="10"/>
        <color indexed="8"/>
        <rFont val="Arial"/>
        <family val="2"/>
      </rPr>
      <t>Fonction de la personne ayant le rôle de responsable de traitement, c'est-à-dire qui détermine les finalités et les moyens du traitement. Il est donc souvent un membre de la Direction Générale de l'entreprise</t>
    </r>
  </si>
  <si>
    <t>Représentant de l'entité responsable de la mise en œuvre du traitement</t>
  </si>
  <si>
    <t>Fonction du représentant de l'entité ou du service qui est en charge de mettre en œuvre le traitement. Par exemple, le représentant de l'entité responsable du traitement des CV des candidats est le responsable de l'équipe recrutement</t>
  </si>
  <si>
    <t>Responsable(s) conjoint(s) du traitement</t>
  </si>
  <si>
    <t>Fonctions des personnes qui déterminent conjointement les finalités et les moyens du traitement</t>
  </si>
  <si>
    <t>Finalité principale</t>
  </si>
  <si>
    <t>Objectif final spécifique, explicite et légitime pour lequel le traitement a lieu</t>
  </si>
  <si>
    <t>Sous-finalités</t>
  </si>
  <si>
    <t>Les sous-finalités doivent être rattachées à la finalité principale du traitement</t>
  </si>
  <si>
    <t>Données personnelles traitées</t>
  </si>
  <si>
    <t>Catégories de personnes concernées par le traitement</t>
  </si>
  <si>
    <t>Exemples : employés, prestataires, clients, partenaires…</t>
  </si>
  <si>
    <t>Données d'identification</t>
  </si>
  <si>
    <t>Exemples : nom, prénom, adresse postale, numéro de téléphone, adresse e-mail, photos, vidéos…</t>
  </si>
  <si>
    <t>Données de connexion</t>
  </si>
  <si>
    <t>Exemples : adresse IP, logs, cookies, historique de navigation…</t>
  </si>
  <si>
    <t>Données de localisation</t>
  </si>
  <si>
    <t>Exemples : positionnement GPS, GSM…</t>
  </si>
  <si>
    <t>Données sur le comportement et la vie personnelle</t>
  </si>
  <si>
    <t>Exemples : situation familiale, habitudes de vie, habitudes de consommation…</t>
  </si>
  <si>
    <t>Données économiques et financières</t>
  </si>
  <si>
    <t>Exemples : revenus, situation financière, situation fiscale, numéro de carte bancaire, RIB…</t>
  </si>
  <si>
    <t>Données professionnelles</t>
  </si>
  <si>
    <t>Exemples : nom de l'employeur, statut dans l'entreprise, contrat de travail…</t>
  </si>
  <si>
    <t>Catégories particulières de données</t>
  </si>
  <si>
    <t>Exemples : données sur l'origine raciale ou ethnique, les opinions politiques, les convictions religieuses ou philosophiques ou l'appartenance syndicale, données génétiques, données biométriques, données concernant la santé, la vie sexuelle, l'orientation sexuelle, données relatives aux condamnations pénales et aux infractions...</t>
  </si>
  <si>
    <t>Description du traitement</t>
  </si>
  <si>
    <t>Canaux de collecte des données</t>
  </si>
  <si>
    <t>Moyens par lesquels les données sont récupérées / collectées pour le traitement. Par exemple : mail, formulaire papier, caméras…</t>
  </si>
  <si>
    <t>Licéité du traitement</t>
  </si>
  <si>
    <t>Le traitement n'est licite que si la personne concernée a donné son consentement au traitement de ses données, si le traitement est nécessaire à l'exécution d'un contrat auquel la personne concernée est partie ou si le traitement est nécessaire au respect d'une obligation légale</t>
  </si>
  <si>
    <t>Recours au traitement automatisé (y compris profilage)</t>
  </si>
  <si>
    <t>Recours à un traitement non basé sur une intervention ou analyse humaine (y compris toute forme de traitement automatisé consistant à utiliser les données à caractère personnel pour évaluer ou prédire des éléments concernant la santé, la situation économique, les préférences personnelles, le comportement, [...] les déplacements d'une personne physique)</t>
  </si>
  <si>
    <t>Applications support du traitement</t>
  </si>
  <si>
    <t>Liste des applications ou logiciels qui sont utilisés dans le but de réaliser le traitement. Attention, une même application peut être considérée comme support de plusieurs traitements</t>
  </si>
  <si>
    <t>Dispositions existantes pour assurer la sécurité des données</t>
  </si>
  <si>
    <t>Liste des dispositifs en place pour assurer la sécurité des données du traitement. Il est possible ici de faire référence à des documents tels que le Dossier d'Architecture Technique, le PIA (Privacy Impact Assessment) ou toute autre documentation présentant les mesures de sécurité "standard" existantes dans l'entreprise</t>
  </si>
  <si>
    <t>Durée d'archivage courant</t>
  </si>
  <si>
    <t>Durée de conservation pour les archives dites courantes. Les archives courantes sont réservées à l'utilisation courante des données par les services responsables de la mise en œuvre du traitement</t>
  </si>
  <si>
    <t>Durée d'archivage définitif</t>
  </si>
  <si>
    <t>Durée de conservation des archives dites définitives. Les archives définitives sont réservées aux archives présentant un intérêt historique, statistique ou scientifique</t>
  </si>
  <si>
    <t>Catégories de destinataires</t>
  </si>
  <si>
    <t>Toute personne, service, entreprise filiale ou tiers ayant un accès aux données à caractère personnel du traitement</t>
  </si>
  <si>
    <t>Raisons du transfert vers les catégories de destinataires</t>
  </si>
  <si>
    <t>Intérêts des destinataires à recevoir les données à caractère personnel transférées</t>
  </si>
  <si>
    <t>Transferts hors UE</t>
  </si>
  <si>
    <t>Communications de données à caractère personnel qui font ou sont destinées à faire l'objet d'un traitement en dehors des Etats membres de l'Union Européenne</t>
  </si>
  <si>
    <t>Pays destinataires</t>
  </si>
  <si>
    <t>Pays dans lesquels sont basés les catégories de destinataires à qui les données sont communiquées</t>
  </si>
  <si>
    <t>Liste des données sensibles</t>
  </si>
  <si>
    <t>Pas de donnée sensible</t>
  </si>
  <si>
    <t>Origine raciale ou ethnique</t>
  </si>
  <si>
    <t>Opinions politiques</t>
  </si>
  <si>
    <t>Religieuses ou philosophiques </t>
  </si>
  <si>
    <t>Appartenance syndicale</t>
  </si>
  <si>
    <t>Données génétiques</t>
  </si>
  <si>
    <t>Biométriques aux fins d'identification</t>
  </si>
  <si>
    <t>Concernant la santé</t>
  </si>
  <si>
    <t>Concerant la vie sexuelle ou l'orientation sexuelle</t>
  </si>
  <si>
    <t>Condamnations pénales ou  infractions</t>
  </si>
  <si>
    <t xml:space="preserve">NIR (N° SS) </t>
  </si>
  <si>
    <t>Licéité du traitement (Article 6)</t>
  </si>
  <si>
    <t>Fondé sur le consentement préalable de la personne physique,</t>
  </si>
  <si>
    <t>Fondé sur l’exécution d’un contrat avec la personne physique concernée,</t>
  </si>
  <si>
    <t>Fondé sur une  obligation légale à laquelle le responsable du traitement est soumis</t>
  </si>
  <si>
    <t>Fondé sur la protection des intérêts vitaux de la personne concernée</t>
  </si>
  <si>
    <t xml:space="preserve">Fondé sur la réalisation d'une mission d’intérêt public </t>
  </si>
  <si>
    <t>Aux fins des intérêts légitimes poursuivis par le responsable du traitement (C47 -48- 49)</t>
  </si>
  <si>
    <t>PIA obligatoire dans les cas suivants</t>
  </si>
  <si>
    <t>Evaluation ou notation (rendement au travail, situation économique, préférences, fiabilité, localisation et déplacements)</t>
  </si>
  <si>
    <t>Prise de décision par des moyens technologiques sans intervention humaine et avec effet juridique ou effet similaire significatif</t>
  </si>
  <si>
    <t>Observer, surveiller ou contrôler les personnes concernées, y compris  via des réseaux</t>
  </si>
  <si>
    <t>Données sensibles (Art 9) ou données relatives aux condamnations pénales ou aux infractions (Art 10)</t>
  </si>
  <si>
    <t>Données traitées à grande échelle</t>
  </si>
  <si>
    <t>Croisement ou combinaison d’ensembles de données issues de plusieurs traitements et/ou effectués par différents RT</t>
  </si>
  <si>
    <t>Données concernant des personnes dans l’incapacité de consentir ou d’exercer leurs droits (Enfants, patients, personnes agées…)</t>
  </si>
  <si>
    <t>Utilisation innovante ou application de nouvelles solutions technologiques ou organisationnelles (Internet des objets,…)</t>
  </si>
  <si>
    <t>Traitements en eux-mêmes qui empêchent les personnes concernées d’exercer un droit ou de bénéficier d’un service ou d’un contrat</t>
  </si>
  <si>
    <t>Aucun cas retenu</t>
  </si>
  <si>
    <t>UIID</t>
  </si>
  <si>
    <t>Type Definition</t>
  </si>
  <si>
    <t>Definition Libelle</t>
  </si>
  <si>
    <t>Scope Client (iid du client)</t>
  </si>
  <si>
    <t>Sensibilité</t>
  </si>
  <si>
    <t>Tres sensible</t>
  </si>
  <si>
    <t>oeu sensible</t>
  </si>
  <si>
    <t>Bof sensible</t>
  </si>
  <si>
    <t>Extreme sensible</t>
  </si>
  <si>
    <t>Aucune importance</t>
  </si>
  <si>
    <t>DureeRetention</t>
  </si>
  <si>
    <t>1 an</t>
  </si>
  <si>
    <t>2 ans</t>
  </si>
  <si>
    <t>A vie</t>
  </si>
  <si>
    <t>2 an</t>
  </si>
  <si>
    <t>Grille de collecte / Registre des activités de traitement - Organisme : Association LA BRETECHE</t>
  </si>
  <si>
    <t>Analyse de conformité</t>
  </si>
  <si>
    <t>Finalité</t>
  </si>
  <si>
    <t>Minimisation des DCP</t>
  </si>
  <si>
    <t>Conservation des DCP</t>
  </si>
  <si>
    <t>Sécurité des DCP</t>
  </si>
  <si>
    <t>Consentement</t>
  </si>
  <si>
    <t>Informations</t>
  </si>
  <si>
    <t>Exercice des droits</t>
  </si>
  <si>
    <t>Sous-traitance</t>
  </si>
  <si>
    <t>Transfert hors UE</t>
  </si>
  <si>
    <t>Registe et preuve</t>
  </si>
  <si>
    <t>Critères PIA</t>
  </si>
  <si>
    <t>Données concernées</t>
  </si>
  <si>
    <t>Historique des modifications</t>
  </si>
  <si>
    <t>Gestionnaire de la mise en œuvre du traitement</t>
  </si>
  <si>
    <t>Catégories particulières de données (NIR, santé par exemple)</t>
  </si>
  <si>
    <t>Etude d'impact (PIA)</t>
  </si>
  <si>
    <t>Recours au traitements automatisés (y compris profilage) ? (Oui / Non)</t>
  </si>
  <si>
    <t>Emplacement physique du traitement</t>
  </si>
  <si>
    <t>Emplacement numérique du traitement</t>
  </si>
  <si>
    <t>Hébergement</t>
  </si>
  <si>
    <t>Durée de conservation</t>
  </si>
  <si>
    <t>Archivage ? (Oui / Non)</t>
  </si>
  <si>
    <t>Durée d'archivage</t>
  </si>
  <si>
    <t>Transferts hors UE (Oui / Non)</t>
  </si>
  <si>
    <t>Commentaires</t>
  </si>
  <si>
    <t>Impact du traitement</t>
  </si>
  <si>
    <t>Détournement de finalité</t>
  </si>
  <si>
    <t>Score</t>
  </si>
  <si>
    <t>Collecte de DCP inapprorpiées</t>
  </si>
  <si>
    <t>Score2</t>
  </si>
  <si>
    <t>Conservation excessive de DCP</t>
  </si>
  <si>
    <t>Score3</t>
  </si>
  <si>
    <t>Sécurisation insuffisante des DCP</t>
  </si>
  <si>
    <t>Score4</t>
  </si>
  <si>
    <t>Vices du consentement</t>
  </si>
  <si>
    <t>Score5</t>
  </si>
  <si>
    <t>Manque de transparence</t>
  </si>
  <si>
    <t>Score6</t>
  </si>
  <si>
    <t>Incapacité à permettre l'exercice des droits</t>
  </si>
  <si>
    <t>Score7</t>
  </si>
  <si>
    <t>Transfert auprès d'un tiers mal encadré</t>
  </si>
  <si>
    <t>Score8</t>
  </si>
  <si>
    <t>Transfert hors UE abusif</t>
  </si>
  <si>
    <t>score9</t>
  </si>
  <si>
    <t>Défaut de preuve</t>
  </si>
  <si>
    <t>Score10</t>
  </si>
  <si>
    <t>Score global</t>
  </si>
  <si>
    <t>Commentaires analyse</t>
  </si>
  <si>
    <t>Exposition du traitement</t>
  </si>
  <si>
    <t>évaluation / scoring</t>
  </si>
  <si>
    <t>décision automatique</t>
  </si>
  <si>
    <t>surveillance systématique</t>
  </si>
  <si>
    <t>collecte de données sensibles</t>
  </si>
  <si>
    <t>collecte de données personnelles à large échelle</t>
  </si>
  <si>
    <t>croisement de données</t>
  </si>
  <si>
    <t>personnes vulnérables</t>
  </si>
  <si>
    <t>usage innovant</t>
  </si>
  <si>
    <t>exclusion du bénéfice d’un droit/contrat</t>
  </si>
  <si>
    <t>DIME L'espoir
ESAT LA Simonière
ESAT Les espoirs
Résidence du parc des bois
Résidence La Combe
SAVA Itinéraire Bis</t>
  </si>
  <si>
    <t>Demandeurs 
Familles et proches des demandeurs</t>
  </si>
  <si>
    <t>Pré inscription</t>
  </si>
  <si>
    <t>25/06/2024
13/08/2024
23/08/2024
02/09/2024
19/12/2024
24/06/2025
15/07/2025
19/08/2025</t>
  </si>
  <si>
    <t>Ajout des informations papiers de la Résidence du parc des bois
Pour le SAVS It bis, plus de stockage papier
Pour le DIME la Bretèche, ajout de donnée n° IEN, plus de papier
Pour le SAVS Tinténiac, ajout info données sensibles
Pour l'ESAT Les espoirs, ajout données CV
Suppression données papier pour la résidence du parc des bois et ajout de ViaTrajectoire
Ajout commentaire pour SAVS Mordelles (15/07/25)
Modif données (19/08/2025)</t>
  </si>
  <si>
    <t>Groupe CREATIVE</t>
  </si>
  <si>
    <t>Directeur de l'organisme</t>
  </si>
  <si>
    <t>Chefs de service et directeurs &amp; psychologue</t>
  </si>
  <si>
    <t>Collecter les informations personnelles permettant d’inscrire les demandeurs sur liste d’attente.</t>
  </si>
  <si>
    <t>Evaluer les besoins en accompagnement afin de déterminer si les capacité d'accueil sont en adéquation avec les besoins pour donner un avis sur la demande d'admission</t>
  </si>
  <si>
    <t>Demandeur, Proche des demandeurs, Familles et partenaires</t>
  </si>
  <si>
    <t>Nom d’usage
Nom de naissance
Prénom(s)
Date de naissance,
N° MSA/CAF, adresse, téléphone, email, n° dossier MDPH
N° IEN (pour les jeunes scolarisés)</t>
  </si>
  <si>
    <t>Situation familiale
Nombre d’enfant(s)
Présence d’un aidant, 
prestation en place (SSIAD,  ADMR…)
Mesure de protection juridique,
Objet de la demande, Permis de conduire et type (ESAT)</t>
  </si>
  <si>
    <t xml:space="preserve">Financements, aides, allocation et prestation de compensation </t>
  </si>
  <si>
    <t>CV et lettre de motivation pour les candidatures</t>
  </si>
  <si>
    <r>
      <t>NIR
Dossier médical sous pli (nomalement sauf pour les ESAT)
Suivi médical en cours, traitement médicamenteux, médecin traitant, psychiatre, CMP, psychologue
(Pas de données médicales au SAVS)</t>
    </r>
    <r>
      <rPr>
        <sz val="10"/>
        <color indexed="11"/>
        <rFont val="Arial"/>
        <family val="2"/>
      </rPr>
      <t xml:space="preserve">
ESAT Les espoirs - Pas de données médicales</t>
    </r>
  </si>
  <si>
    <t>NIR (N° SS) 
 + Concernant le santé</t>
  </si>
  <si>
    <t>Par le demandeur (usagers / famille / proches des usagers) par mail ou courrier
ViaTrajectoire</t>
  </si>
  <si>
    <t>Non</t>
  </si>
  <si>
    <t>Bureau de la personne chargée de l'accompagnement sociale à l'ESAT la simmnière
SO pour SAVS Tinténiac
Bureau du Chef du service social à l'ESAT Les Espoirs</t>
  </si>
  <si>
    <t>Dans un classeur dans une armoire du bureau fermé à clé de la personne chargée de l'accompagnement sociale à l'ESAT la simonière
Dans une armoire fermée à clé du bureau fermé à clé à l'ESAT Les Espoirs</t>
  </si>
  <si>
    <t>Mediateam
Messagerie
Serveur de fichier
ViaTrajectoire</t>
  </si>
  <si>
    <t>User + MDP</t>
  </si>
  <si>
    <t>Berger Levrault
Microsoft
AJP
GCS SARA</t>
  </si>
  <si>
    <t>Supprimer</t>
  </si>
  <si>
    <t>Oui</t>
  </si>
  <si>
    <t>Editeur</t>
  </si>
  <si>
    <t xml:space="preserve">Interne : Directrice, chefs de service, secrétaire, coordinatrice, Service social, comission d'admission, chargé d'accompagnement, Psychologue
Externe :Conseil départemental (MDPH, CLIC)
</t>
  </si>
  <si>
    <t>SO</t>
  </si>
  <si>
    <t>Résidence La Combe : Tout est dans mediateam
ESAT Les Espoirs : Projet de passage 100% sur Mediateam
SAVS Mordelles - Depuis le 1er appel, tout est sur Mediateam</t>
  </si>
  <si>
    <t>Se référer au document word de préconisation</t>
  </si>
  <si>
    <t>X</t>
  </si>
  <si>
    <t>DIME Rennes</t>
  </si>
  <si>
    <t>Séparation de ce traitement pour le DIME rennes</t>
  </si>
  <si>
    <t>Secrétaire de direction, chefs de service</t>
  </si>
  <si>
    <t>Nom d’usage
Nom de naissance
Prénom(s)
Date de naissance,
adresse, téléphone, email, n° dossier MDPH</t>
  </si>
  <si>
    <t>Accès à ViaTrajectoire</t>
  </si>
  <si>
    <t>Situation familiale
Présence d’un aidant, 
prestation en place (SSIAD,  ADMR…)
Mesure de protection juridique,
Objet de la demande</t>
  </si>
  <si>
    <t>Diagnostics (Suivi médical en cours, bilan médicaux), suivi extérieur existant</t>
  </si>
  <si>
    <t>Concernant le santé</t>
  </si>
  <si>
    <t>Bureau du secrétariat</t>
  </si>
  <si>
    <t>Classeur dans un meuble du Bureau du secrétariat fermé à clé</t>
  </si>
  <si>
    <t>Viatrajectoire
Fichier excel sur le serveur (dossier secrétariat)</t>
  </si>
  <si>
    <t>Etat
AJP</t>
  </si>
  <si>
    <t>5 ans</t>
  </si>
  <si>
    <t xml:space="preserve">Interne : Chefs de service, secrétaire
Externe :MDPH
</t>
  </si>
  <si>
    <t>DIME La Bretèche</t>
  </si>
  <si>
    <t>Séparation de ce traitement pour le DIME La Bretèche</t>
  </si>
  <si>
    <t>Mail
Via Trajectoire
Mediateam</t>
  </si>
  <si>
    <t>Microsoft
Etat
Berger Levrault</t>
  </si>
  <si>
    <t>SAVS Tinténiac</t>
  </si>
  <si>
    <t>Secrétaire de direction</t>
  </si>
  <si>
    <t>Nom d’usage
Nom de naissance
Prénom(s)
Date de naissance,
, adresse, téléphone, email, n° dossier MDPH</t>
  </si>
  <si>
    <t>Orientation MDPH</t>
  </si>
  <si>
    <t>NIR (présent la notification MDPH)</t>
  </si>
  <si>
    <t>Mediateam</t>
  </si>
  <si>
    <t>Berger Levrault</t>
  </si>
  <si>
    <t xml:space="preserve">Interne : Salarié
Externe :Conseil départemental (MDPH, CLIC)
</t>
  </si>
  <si>
    <t>Usagers 
Familles et proches des usagers</t>
  </si>
  <si>
    <t xml:space="preserve">Admission </t>
  </si>
  <si>
    <t>Ajout de données n° IEN,  parcours de scolarité du jeune, ancien bilan de parcours (PPA, …), vaccinations, stockage en plus bureau des Assistantes sociales</t>
  </si>
  <si>
    <t>Chefs de service et directeurs</t>
  </si>
  <si>
    <t>Collecter les informations personnelles permettant d’enregistrer administrativement le nouvel usager</t>
  </si>
  <si>
    <t>- Gestion de l'admission
- Etat des présences
- Réalisation d'états statistiques ou de listes pour répondre à des besoins de gestion administrative 
- Gestion des élections des représentants CVS 
- Gestion des enquêtes (ANAP - EHPA...)
- Rapport d'activité
- Gestion des mutuelles
- Gestion des contacts en cas d'urgence et de la personne de confiance
- Gestion décès
- Gestion de la facturation des usagers
- Gestion du courrier
- Gestion du linge
- Gestion des repas
- Gestion du droit à l'image</t>
  </si>
  <si>
    <r>
      <t xml:space="preserve">Nom d’usage
Nom de naissance
Prénom(s)
Date de naissance, lieu, ancienne adresse
N° Sécurité sociale
N° CAF/MSA, adresse, téléphone,  
photographie
noms, prénoms, coordonnées téléphoniques et adresses email des intervenants
nom et les coordonnées </t>
    </r>
    <r>
      <rPr>
        <sz val="10"/>
        <color rgb="FF00477F"/>
        <rFont val="Arial"/>
        <family val="2"/>
      </rPr>
      <t>téléphoniques de la personne à contacter en cas d’urgence
N° IEN</t>
    </r>
  </si>
  <si>
    <t>- Situation familiale 
- Nombre d’enfant(s)
- Lieu de résidence lors de l’enfance
- Nombre de frères et sœurs 
- Origine et profession des parents 
- Provenance 
- Mesure de protection juridique
- Goûts et loisirs</t>
  </si>
  <si>
    <t>- aides financieres
- demande de prélevement + RIB</t>
  </si>
  <si>
    <t>Parcours de scolarité du jeune, ancien bilan de parcours (PPA, …)</t>
  </si>
  <si>
    <t>Carte d’invalidite 
copie de l’attestation de Sécurité sociale
copie de l’extrait de jugement s’il existe une mesure de protection juridique
copie de la dernière ordonnance
antécédents
Copie des vaccinations</t>
  </si>
  <si>
    <t>NIR (N° SS) 
Donnée de santé</t>
  </si>
  <si>
    <t>usager / famille / proches des usagers / organisme de protection juridique</t>
  </si>
  <si>
    <t>Infirmerie
Couloir
Assistante sociale</t>
  </si>
  <si>
    <t>Données médicales à l'infirmerie dans un classeur fermé à clé pour cetraines données
Armoire du couloir fermée à clé
Dans un placard du bureau des assistantes sociales fermé à clé</t>
  </si>
  <si>
    <t>Accès restreint</t>
  </si>
  <si>
    <t xml:space="preserve">Interne :Directrice et chefs de service, professionnels, infirmière
</t>
  </si>
  <si>
    <t>Ajout durée d'archivage</t>
  </si>
  <si>
    <t>Nom d’usage
Nom de naissance
Prénom(s)
Date de naissance, lieu, ancienne adresse
N° Sécurité sociale
N° CAF/MSA, adresse, téléphone,
noms, prénoms, coordonnées téléphoniques et adresses email des intervenants
nom et les coordonnées téléphoniques de la personne à contacter en cas d’urgence</t>
  </si>
  <si>
    <t>- Situation familiale 
- Livret de famille
- Lieu de résidence lors de l’enfance
- Nombre de frères et sœurs 
- Origine et profession des parents 
- Provenance 
- Mesure de protection juridique
- Goûts et loisirs</t>
  </si>
  <si>
    <t>- aides financieres
- demande de prélevement</t>
  </si>
  <si>
    <t>Carte d’invalidite 
Copie de l’attestation de Sécurité sociale
Copie de l’extrait de jugement s’il existe une mesure de protection juridique
Copie de la dernière ordonnance
antécédents, carnet de vaccination
Bilan de santé</t>
  </si>
  <si>
    <t>Infirmerie IME
Bureau du pédopsychiatre</t>
  </si>
  <si>
    <t>Classeur des entretiens avec les familles et Dossier médical papier dans une armoire de l'infirmerie IME
Affichage de liste des jeunes et de prise en charge thérapeutiques dans l'infirmerie IME
Tiroir fermé à clé dans le Bureau du pédopsychiatre</t>
  </si>
  <si>
    <t>Serveur
Mediateam
Viatrajectoire
ROR
Qualinéo
RésidESMS
ATIH
Enquête éducation nationale 32
Enquêtes ARS</t>
  </si>
  <si>
    <t>Sauvegarde sur le serveur dans un répertoire service avec accès restreint
User/mdp</t>
  </si>
  <si>
    <t>Interne (AJP)
Berger Levrault
….</t>
  </si>
  <si>
    <t>20 ans après le départ de l'usager</t>
  </si>
  <si>
    <t xml:space="preserve">Interne : Infirmière IME, secrétaire de direction IME, pédopsychiatre, Assistante sociale
Externe : ARS </t>
  </si>
  <si>
    <t>ESAT LA Simonière</t>
  </si>
  <si>
    <t>Modif des durées d'archivage</t>
  </si>
  <si>
    <t>- Gestion de l'admission
- Etat des présences
- Réalisation d'états statistiques ou de listes pour répondre à des besoins de gestion administrative 
- Gestion des élections des représentants CVS 
- Gestion des enquêtes (ANAP - EHPA...)
- Rapport d'activité
- Gestion des mutuelles
- Gestion des contacts en cas d'urgence et de la personne de confiance
- Gestion décès
- Gestion du linge pro
- Gestion du droit à l'image</t>
  </si>
  <si>
    <t>Travailleurs</t>
  </si>
  <si>
    <t>Nom d’usage
Nom de naissance
Prénom(s)
Date de naissance, lieu, 
N° Sécurité sociale
N° CAF/MSA, adresse, téléphone, email  
photographie
nom de la mutuelle
nom et les coordonnées téléphoniques de la personne à contacter en cas d’urgence, personne de confiance
attestation de responsabilité civile, permis de conduire, médecin traitant et spécialiste, photocopie de la CI</t>
  </si>
  <si>
    <t>Situation familiale
Nombre d’enfant(s)
Etablissement d'origine, présence d’un aidant, 
prestation en place (SSIAD,  ADMR…)
Mesure de protection juridique
Droit à l'image</t>
  </si>
  <si>
    <t>RIB</t>
  </si>
  <si>
    <t>Niveau scolaire, expérience professionnelle (CV)</t>
  </si>
  <si>
    <t>Point de vigilance santé / Comportement
Carte vitale
Mesure de protection judiciaire et RQTH
carte d'invalidité</t>
  </si>
  <si>
    <t>Bureau de l'assistante administrative</t>
  </si>
  <si>
    <t>Armoire fermée à clé dans le bureau de l'assistante administrative fermé à clé</t>
  </si>
  <si>
    <t>Serveur de fichier
Mediateam</t>
  </si>
  <si>
    <t>User + Mdp</t>
  </si>
  <si>
    <t>Interne
Berger Levrault</t>
  </si>
  <si>
    <t>O</t>
  </si>
  <si>
    <t>OUI</t>
  </si>
  <si>
    <t>Pas de suppression</t>
  </si>
  <si>
    <t>Interne : Assistante administrative, chef de service, chargé d'accompagnement, moniteur, directrice, psychologue
Externe : MSA, médecine du travail, mutuelle, MDPH, CAF, Viatrajectoire, ARS</t>
  </si>
  <si>
    <t>Mutuelle des usagers</t>
  </si>
  <si>
    <t>Archivage dans le grenier au dessus des vestiaires
03/06/25 : Pas de nettoyage encore, pas encore planifié, beaucoup d'installation de logiciel cette année</t>
  </si>
  <si>
    <t>ESAT Les espoirs</t>
  </si>
  <si>
    <t>Nom d’usage
Nom de naissance
Prénom(s)
Date de naissance, lieu, 
N° Sécurité sociale
N° CAF/MSA, adresse, téléphone, email  
photographie
nom et les coordonnées téléphoniques de la personne à contacter en cas d’urgence, et de la personne de confiance</t>
  </si>
  <si>
    <t>Situation familiale
Nombre d’enfant(s), frère(s) et sœur(s)
Origine et profession des parents 
Etablissement d'origine, 
Mesure de protection juridique
Droit à l'image</t>
  </si>
  <si>
    <t>- aides financières
- demande de prélèvement + RIB</t>
  </si>
  <si>
    <t>Profession exercée profession du conjoint</t>
  </si>
  <si>
    <t>Carte d’invalidité
copie de l’attestation de Sécurité sociale
copie de l’extrait de jugement s’il existe une mesure de protection juridique
copie de la dernière ordonnance</t>
  </si>
  <si>
    <t>Bureau de la secrétaire de direction
Bureau du Chef du service social
Bureau du service d'accompagnement</t>
  </si>
  <si>
    <t>Dans une armoire fermée à clé de bureau fermé à clé</t>
  </si>
  <si>
    <t>Interne : Secrétaire de direction, directeur, Chef de service social, Chargé d'accompagnement, Psychologue</t>
  </si>
  <si>
    <t>ESAT Les espoirs : Avec l'utilisation massive de Meaditeam en 2025, possible svg en local de chaque dossier</t>
  </si>
  <si>
    <t>02/09/2024
28/07/2025</t>
  </si>
  <si>
    <t>Modif données sensibles colectées
Modif données sensibles collectées - 28/07/25</t>
  </si>
  <si>
    <t>Secrétaire</t>
  </si>
  <si>
    <t>- Gestion du dossier du bénéficiaire
- Gestion de l'admission
- Etat des présences
- Réalisation d'états statistiques ou de listes pour répondre à des besoins de gestion administrative
- Gestion des enquêtes (ANAP - EHPA...)
- Rapport d'activité
- Gestion des contacts en cas d'urgence
- Gestion décès
- Gestion du courrier
- Gestion du droit à l'IMAGE</t>
  </si>
  <si>
    <t>Nom d’usage
Nom de naissance
Prénom(s)
Date de naissance, lieu, ancienne adresse
N° Sécurité sociale, adresse, téléphone,  
photographie
noms, prénoms, coordonnées téléphoniques et adresses email des intervenants
nom et les coordonnées téléphoniques de la personne à contacter en cas d’urgence</t>
  </si>
  <si>
    <t>Notification MDPH
une mesure de protection juridique</t>
  </si>
  <si>
    <t>User/mdp</t>
  </si>
  <si>
    <t>Interne : Tout le personnel
Externe : MDPH &amp; ViaTrajectoire</t>
  </si>
  <si>
    <t>SAVA Itinéraire Bis</t>
  </si>
  <si>
    <t>Modification de la partie stockage physique
Ajout de précision sur la partie papier (15/07/25)</t>
  </si>
  <si>
    <t>Nom d’usage
Nom de naissance
Prénom(s)
Date de naissance, lieu, ancienne adresse
N° Sécurité sociale
N° CAF/MSA, adresse, téléphone,  
photographie
noms, prénoms, coordonnées téléphoniques et adresses email des intervenants
nom et les coordonnées téléphoniques de la personne à contacter en cas d’urgence (si existe), Assurance, mutuelle, copie carte d'iden-tité, permis de conduire (si donné), justificatif de domicile</t>
  </si>
  <si>
    <t>- Situation familiale 
- Nombre d’enfant(s)
- Nombre de petits enfants
- Lieu de résidence lors de l’enfance
- Nombre de frères et sœurs 
- Provenance 
- Mesure de protection juridique
- Goûts et loisirs</t>
  </si>
  <si>
    <t>Profession exercée
profession du conjoint</t>
  </si>
  <si>
    <t>Carte d’invalidite 
copie de l’attestation de Sécurité sociale
copie de l’extrait de jugement s’il existe une mesure de protection juridique
copie de la dernière ordonnance
antécédents
Bilan professionnel de l'ancienne structure</t>
  </si>
  <si>
    <t>Bureau des éducateurs</t>
  </si>
  <si>
    <t>Quelques dossiers papier reçu ou imprimé dans le caisson des éducateurs, fermé à clé
De moins en moins de dossier papier (informations temporaires avant numérisation)</t>
  </si>
  <si>
    <t>Mediateam - serveur</t>
  </si>
  <si>
    <t xml:space="preserve">Interne : Tout le personnel
Externe : </t>
  </si>
  <si>
    <t>Résidence La Combe</t>
  </si>
  <si>
    <t>Données papier seulement à l'infirmerie, plus dans le couloir</t>
  </si>
  <si>
    <t>Nom d’usage
Nom de naissance
Prénom(s)
Date de naissance, lieu, ancienne adresse
N° Sécurité sociale
N° CAF/MSA, adresse, téléphone,  
photographie
noms, prénoms, coordonnées téléphoniques et adresses email des intervenants
nom et les coordonnées téléphoniques de la personne à contacter en cas d’urgence</t>
  </si>
  <si>
    <t>Profession des parents, expérience professionnelle</t>
  </si>
  <si>
    <t>Carte d’invalidite 
copie de l’attestation de Sécurité sociale
copie de l’extrait de jugement s’il existe une mesure de protection juridique
copie de la dernière ordonnance
antécédents</t>
  </si>
  <si>
    <t>Infirmerie</t>
  </si>
  <si>
    <t>Données médicales à l'infirmerie dans un classeur fermé à clé pour les données médicales</t>
  </si>
  <si>
    <t>Résidence du parc des bois</t>
  </si>
  <si>
    <t>Modification des données collectées et de leur empacement</t>
  </si>
  <si>
    <t>- Situation familiale 
- Nombre d’enfant(s)
- Nombre de frères et sœurs 
- Mesure de protection juridique
- Goûts et loisirs
- Notification de décision (du Dpt)</t>
  </si>
  <si>
    <t>- aides financieres pour la comptable
- demande de prélevement + RIB pour la comptable</t>
  </si>
  <si>
    <t>Profession des parents, expérience professionnelle du jeune</t>
  </si>
  <si>
    <t>Carte d’invalidite 
copie de l’attestation de Sécurité sociale, mutuelle, pièce d'identité (carte de séjour et extrait de l'acte de naissance)
copie de l’extrait de jugement s’il existe une mesure de protection juridique
copie de la dernière ordonnance
antécédents
Orientation MDPH</t>
  </si>
  <si>
    <t>Pharmacie</t>
  </si>
  <si>
    <t>Accès sécurisé à la pharmacie pour les données médicales</t>
  </si>
  <si>
    <t>Mediateam
PC de l'infirmière</t>
  </si>
  <si>
    <t>Accès restreint par utilisateur
accès spécifique de l'infirmière</t>
  </si>
  <si>
    <t>Résidences Les Gantelles et Les Fougères</t>
  </si>
  <si>
    <t>Ajout d'un commentaire</t>
  </si>
  <si>
    <t>Cheffe de service</t>
  </si>
  <si>
    <t>Bureau de la direction</t>
  </si>
  <si>
    <t>Armoire fermée à clé contenant les dossiers des résidents des 2 foyers dans le bureau de la direction fermé à clé</t>
  </si>
  <si>
    <t>Non définie</t>
  </si>
  <si>
    <t xml:space="preserve">Interne : Cheffe de service, professionnels
</t>
  </si>
  <si>
    <t>Actuellement les résidents gèrent les points suivants en attendant que cela reviennent aux foyers :
- Gestion des mutuelles
- Gestion du courrier
- Gestion du linge
- Gestion des repas</t>
  </si>
  <si>
    <t>Accompagnement des usagers - Partie non médicale</t>
  </si>
  <si>
    <t>Chef de service</t>
  </si>
  <si>
    <t>Collecter et utiliser des données permettant de construire le projet d’accompagnement personnalisé des usagers et d’organiser et tracer l'accompagnement à apporter</t>
  </si>
  <si>
    <t>- Elaboration des projets d'accompagnement personnalisés
- Gestion des prestations non médicales
- Préparation des repas adaptés aux besoins de l'usager</t>
  </si>
  <si>
    <t>Nom d’usage
Nom de naissance
Prénom(s)</t>
  </si>
  <si>
    <t>situation familiale 
informations sur sa vie (généalogie, habitude, parcours, habitudes, plaisirs, hygiène, vêtements, toilette, ...)
motricité et deplacement
prothèses, caractéristiques sensorielles</t>
  </si>
  <si>
    <t>Copie MDPH, Copie des pièces d'identité, de jugement, Info sur les échanges avec partenaires, Projet personnalisé des jeunes, NIR</t>
  </si>
  <si>
    <t>Infirmerie IME
Bureau du pédopsychiatre
Salle de communication IME</t>
  </si>
  <si>
    <t>Classeur des entretiens avec les familles et Dossier médical papier dans une armoire de l'infirmerie IME
Affichage de liste des jeunes et de prise en charge thérapeutiques dans l'infirmerie IME
Tiroir fermé à clé dans le Bureau du pédopsychiatre
Version dans les dossiers papier administratifs dans la salle de communication fermé à clé</t>
  </si>
  <si>
    <t>Accès restreint par utilisateur</t>
  </si>
  <si>
    <t>Encore gestion papier en attendant la gestion des droits sur Mediateam</t>
  </si>
  <si>
    <t>Pas de donnée de santé</t>
  </si>
  <si>
    <t>Dernier lieu de provenance (établissement d'origine, GEVASCO, PPA)
Situation familiale 
informations sur sa vie (généalogie, habitude, parcours, plaisirs, hygiène, vêtements, toilette, ...)
motricité,
caractéristiques sensorielles</t>
  </si>
  <si>
    <t>usager / famille / proches des usagers</t>
  </si>
  <si>
    <t>Couloir près de la directrice</t>
  </si>
  <si>
    <t>Armoire fermée à clé</t>
  </si>
  <si>
    <t xml:space="preserve">Interne : tous les professionnels
Externe ::Partenaire (Stage)
</t>
  </si>
  <si>
    <t>Présentation du jeune et de son dossier pour un stage auprès du partenaire</t>
  </si>
  <si>
    <t>Modif des durées d'archivage et des données collectées</t>
  </si>
  <si>
    <t>- Elaboration des projets d'accompagnement personnalisés
- Paiement des usagers (rémunération garantie)</t>
  </si>
  <si>
    <t>Usagers</t>
  </si>
  <si>
    <t>Nom d’usage
Nom de naissance
Prénom(s)
Date de naissance, lieu, 
N° Sécurité sociale
N° CAF/MSA, adresse, téléphone, email  
photographie
nom de la mutuelle
nom et les coordonnées téléphoniques de la personne à contacter en cas d’urgence, personne de confiance
attestation de responsabilité civile, permis de conduire, médecin traitant et spécialiste, photocopie de la CI, suivi des heures, convention de stage</t>
  </si>
  <si>
    <t>Niveau scolaire, expérience professionnelle (CV)
Projet personnalisé, contrat de soutien et d'aide par le travail, formations réalisées, DIPC</t>
  </si>
  <si>
    <t>Point de vigilance santé / Comportement
Carte vitale
Mesure de protection judiciaire et RQTH
carte d'invalidité
Titre de séjour + validité</t>
  </si>
  <si>
    <t>Usagers / famille / proches des usagers</t>
  </si>
  <si>
    <t>Bureau de l'assistante administrative
Bureau de la chef de service</t>
  </si>
  <si>
    <t xml:space="preserve">Armoire fermée à clé dans le bureau de l'assistante administrative fermé à clé
Copie du PAP dans une armoire du bureau de la chef de service fermé à clé
</t>
  </si>
  <si>
    <t>serveur &amp; Mediateam &amp; Mail</t>
  </si>
  <si>
    <t>Compte rendu d'acc sur le serveur &amp; Médiateam &amp; Mail (sécurisé par User &amp; MDP)</t>
  </si>
  <si>
    <t>Interne : chef de service, psychologue, moniteurs, animatrice, chargé d'accompagnement social, MPA, directrice, assistante administrative
Service RH (formation) et service Paie au siège
Externe : 
OPCO</t>
  </si>
  <si>
    <t>19/12/2024
19/08/2025</t>
  </si>
  <si>
    <t>MAJ du comentaire
MAJ du comentaire (19/08/25)</t>
  </si>
  <si>
    <t>- Elaboration des projets d'accompagnement personnalisés
- Paiement des usagers (rémunération garantie)
- Gestion des prestations non médicales
- Préparation des repas adaptés aux besoins de l'usagers</t>
  </si>
  <si>
    <t>Nom d’usage
Nom de naissance
Prénom(s)
Date d'entrée</t>
  </si>
  <si>
    <t xml:space="preserve">situation familiale
informations sur sa vie (généalogie, habitude, parcours, habitudes, plaisirs, hygiène, vêtements, toilette, ...)
motricité et déplacement
prothèses, caractéristiques sensorielles
nb d'enfants / d'enfants décédés </t>
  </si>
  <si>
    <t>Dernière profession</t>
  </si>
  <si>
    <t>Médecin traitant
Contrainte alimentaires</t>
  </si>
  <si>
    <t>Mediateam
Dossier individuel sur le serveur (P:)</t>
  </si>
  <si>
    <t>User + MDP
Serveur de fichier accessible par tous les salariés</t>
  </si>
  <si>
    <t>Interne : chef de service, assistant social, psychologue, ES,  animateur, CESF, moniteurs
Externe : Tuteurs/curateurs</t>
  </si>
  <si>
    <t>Prévoit un accompagnement par examen/certification pour aider les usagers à progresser (lecture, écriture, etc…)</t>
  </si>
  <si>
    <t>Modif du stockage numérique que sur Mediateam
Modif données sensibles colectées 28/07/25</t>
  </si>
  <si>
    <t>- Elaboration des projets d'accompagnement personnalisés
- Gestion des prestations non médicales
- Participation financière versée en fin d'année par les personnes accompagnées (30€)</t>
  </si>
  <si>
    <t xml:space="preserve">Dernière profession
situation familiale
informations sur sa vie (généalogie, habitude, parcours...)
motricité et déplacement, caractéristiques handicap
nb d'enfants / d'enfants décédés </t>
  </si>
  <si>
    <t>- aides financières AH &amp; PCH &amp; APL&amp; APA
- Fiche d'impôt
- demande de virement</t>
  </si>
  <si>
    <t>Parcours scolaire et professionnel</t>
  </si>
  <si>
    <t xml:space="preserve">SO
</t>
  </si>
  <si>
    <t>Accès User + MDP</t>
  </si>
  <si>
    <t>Durée de l'éditeur</t>
  </si>
  <si>
    <t>Interne : Salariés
Externe : SO</t>
  </si>
  <si>
    <t>Accompagnement des usagers</t>
  </si>
  <si>
    <t>13/08/2024
15/07/2025</t>
  </si>
  <si>
    <t xml:space="preserve">Dernière profession situation familiale 
informations sur sa vie (généalogie, habitude, parcours, habitudes, plaisirs, hygiène, vêtements, toilette, ...)
motricité et deplacement
prothèses, caractéristiques sensorielles
nb d'enfants / d'enfants décédés </t>
  </si>
  <si>
    <t>User + mdp</t>
  </si>
  <si>
    <t>Interne : Equipe pédagogique
Externe : SO</t>
  </si>
  <si>
    <t>Changement des Données sur le comportement et la vie personnelle et ajout de l'emplacement physique pour les données de jugement</t>
  </si>
  <si>
    <t xml:space="preserve">dernière profession 
situation familiale 
informations sur sa vie (généalogie, habitude, parcours, plaisirs, hygiène, ...)
motricité et deplacement
prothèses, caractéristiques sensorielles
nb d'enfants / d'enfants décédés </t>
  </si>
  <si>
    <t>Copie MDPH, Copie des pièces d'identité, de jugement (tutelle/curatelle et infraction pénale &amp; délit/crime), Info sur les échanges avec partenaires, Projet personnalisé, NIR</t>
  </si>
  <si>
    <t>Condamnations pénales ou  infractions &amp; NIR</t>
  </si>
  <si>
    <t>Bureau de la cheffe de service</t>
  </si>
  <si>
    <t>Jugement dans une armoire du bureau de la cheffe de service fermé à clé</t>
  </si>
  <si>
    <t>25/06/2024
24/06/2025</t>
  </si>
  <si>
    <t>Ajout des informations papiers
Ajout précision sur Médiateam</t>
  </si>
  <si>
    <t xml:space="preserve">dernière profession 
situation familiale 
informations sur sa vie (généalogie, habitude, parcours, habitudes, plaisirs, hygiène, vêtements, toilette, ...)
motricité et deplacement
prothèses, caractéristiques sensorielles
nb d'enfants / d'enfants décédés </t>
  </si>
  <si>
    <t>Dossiers papier des usagers dans le bureau des éducateurs (remis au départ de l'usager)</t>
  </si>
  <si>
    <t>Mediateam (principalement)</t>
  </si>
  <si>
    <t>Ajout d'un commentaire + données info médicales ajoutées et leurs stockages</t>
  </si>
  <si>
    <t>Copie MDPH, Copie des pièces d'identité, de jugement, Info sur les échanges avec partenaires, Projet personnalisé des jeunes, NIR
Certaines informations médicales fournies par le résident</t>
  </si>
  <si>
    <t xml:space="preserve">Bureau du personnel Les Fougères
Bureau du personnel Les Fougères
Entrée Foyer Les Gantelles
Bureau de service Foyer Les Gantelles 
Bureau des salariés Foyer Les Gantelles </t>
  </si>
  <si>
    <t>Archives des transmissions, de la liste des résidents avec n° de chambre, nom et prénom et bannette par usagers, tableau des transmissions avec nom-prénom, n° de chambre, heures de kiné et douche, Armoire avec les dossiers des résidents et Affichage de l'annuaire résident dans le bureau du personnel Les Fougères fermé à clé
Dossier des accompagnements temporaires sur l'ordinateur dans le bureau du personnel Les Fougères fermé à clé
Boites aux lettres avec nom-prénom et n° d'appartement aux Foyer Les Gantelles
Boites à clés des appartements dans le bureau de service Foyer Les Gantelles fermé à clé
Boite des dossiers résidents au quotidien (PAP), Caisson des transmissions, Classeur contenant l'agenda des activités et des sorties des résidents et Affichage des transissions dans le bureau des salariés Foyer Les Gantelles fermés à clé
Classeur des résidents avec potentiellement des données médicales dans la salle de professionnelle fermée à clé</t>
  </si>
  <si>
    <t xml:space="preserve">Interne: Cheffe de service, professionnels
</t>
  </si>
  <si>
    <t>Actuellement les résidents gèrent les points suivants en attendant que cela reviennent aux foyers :
- Préparation des repas adaptés aux besoins de l'usager</t>
  </si>
  <si>
    <t>Usagers, familles, proches</t>
  </si>
  <si>
    <t>Accompagnement médical des usagers</t>
  </si>
  <si>
    <t>Modification des données collectées</t>
  </si>
  <si>
    <t>Responsable des soins infirmiers</t>
  </si>
  <si>
    <t>Organisation du parcours de soin</t>
  </si>
  <si>
    <t>- Assurer un suivi médicalisé adapté à la personne concernée
- Gestion du dossier médical (Médiateam)
- Gestion des résultats d'analyse / radio / compte-rendus médicaux
- Gestion de décision
- Gestion des RV médicaux
- Gestion du planning de consultation…
- Gestion des traitements de soins
- Gestion des traitements médicamenteux
- Gestion du DLU
- Gestion des campganes de vaccination
- Gestion du DMP</t>
  </si>
  <si>
    <t>Nom, prénom, date de naissance, photo</t>
  </si>
  <si>
    <t>Santé, ordonannce, NIR, carnet de vaccination</t>
  </si>
  <si>
    <t>Concernant la santé + NIR</t>
  </si>
  <si>
    <t>usager, personnes médicales et para médicales</t>
  </si>
  <si>
    <t>Salle de communication IME
Bureau du docteur de l'IME
Infirmerie IME</t>
  </si>
  <si>
    <t>Version dans les dossiers papier administratifs dans la salle de communication fermé à clé
Notes personnels dans armoire fermé et bureau du docteur de l'IME fermé
Dossier dans l'infirmerie dans armoire fermé et bureau fermé</t>
  </si>
  <si>
    <t>Serveur (Assistante sociale)
Mediateam</t>
  </si>
  <si>
    <t>3 ans
Pas de destruction pour le docteur IME</t>
  </si>
  <si>
    <t xml:space="preserve">Interne : Chargée d'insertion IME, Docteur IME, Infirmière IME
Externe :
</t>
  </si>
  <si>
    <t>23/08/2024
18/07/2025</t>
  </si>
  <si>
    <t>Ajout donnée Ancien bilan médicaux, Analyses sanguines et autres…
Ajout commentaire - 18/07/2025</t>
  </si>
  <si>
    <t>Dossier de Santé, ordonannce, NIR, Ancien bilan médicaux (ortho, neuro, psychomot, pédopsy…), Analyses sanguines et autres…</t>
  </si>
  <si>
    <t>DIME La Bretèche
Internat</t>
  </si>
  <si>
    <t>Transmission des régimes alimentaires (PAI) aux restaurants scolaires par le DIME La Bretèche
Copie des ordonnances par délégation des infirmières pour la distribution des médicaments à l'internat</t>
  </si>
  <si>
    <t>Interne</t>
  </si>
  <si>
    <t>3 ans</t>
  </si>
  <si>
    <t xml:space="preserve">Interne : Directrice et chefs de service
Externe :
</t>
  </si>
  <si>
    <t>Tout en papier actuellement
A venir sur médiateam fin 2025
Chaque chauffeur aura sous scellé une fiche d'urgence</t>
  </si>
  <si>
    <t>Siège</t>
  </si>
  <si>
    <t>Candidats</t>
  </si>
  <si>
    <t>Gestion des recrutements</t>
  </si>
  <si>
    <t>25/07/2024
08/07/2025</t>
  </si>
  <si>
    <t>RH - Ajout d'un commentaire</t>
  </si>
  <si>
    <t>Service RH</t>
  </si>
  <si>
    <t>Recruter</t>
  </si>
  <si>
    <t>- Récolte des CV et lettre de motivation par mail + plateforme jobboard + Site internet + Boite mail
- Entretien 
- Utilisation de cabinet extérieur (de temps en temps)
- Appel aux agences d'intérim
- Tests de compétence</t>
  </si>
  <si>
    <t>Nom, prénom, date de naissance, n°de tel, adresse mail,  adresse postale</t>
  </si>
  <si>
    <t>Situation de famille, loisirs, âge</t>
  </si>
  <si>
    <t>Demande de salaire</t>
  </si>
  <si>
    <t>Formations, expériences précédentes</t>
  </si>
  <si>
    <t>Par candidat</t>
  </si>
  <si>
    <t>Bureau du Service RH
Directeur de l'établissement concerné
Chef de service DIME La Bretèche</t>
  </si>
  <si>
    <r>
      <t xml:space="preserve">Bureau RH fermé à clé pour les candidats retenus
</t>
    </r>
    <r>
      <rPr>
        <sz val="10"/>
        <color theme="1"/>
        <rFont val="Arial"/>
        <family val="2"/>
      </rPr>
      <t>Pochette dans le bureau des chefs de service DIME la Bretèche fermé à clé</t>
    </r>
    <r>
      <rPr>
        <sz val="10"/>
        <color rgb="FF00477F"/>
        <rFont val="Arial"/>
        <family val="2"/>
      </rPr>
      <t xml:space="preserve">
Bureau de la directrce de l'ESAT</t>
    </r>
  </si>
  <si>
    <t>Mail+ jobborard( indeed, Apec, pole emploi)
Dossier Réseau RH
Serveur ESAT
Candidature via le site internet</t>
  </si>
  <si>
    <t>Accès au répertoire réseau réservé au service RH, directeur et chefs de service
Plateforme sécurisé
Regroupement des candidature sur une seule adresse mail</t>
  </si>
  <si>
    <t>Serveur + cabinet+ fournisseur</t>
  </si>
  <si>
    <t>Papier : destruction
Mail : pas de gestion de l'archivage
ESAT : pas de conservation</t>
  </si>
  <si>
    <t>Interne :
Service RH/Paie
Directeur chef de service
Moniteur Principaux d'Atelier
Externe :
Médecin MSA, Pole emploi</t>
  </si>
  <si>
    <t>Pas de contrôle ni de mail envoyé aux candidats sur la durée de conservation des données (A vérifier).
Pas de logiciel de suivi des recrutement.
Toutes les secrétaires d'établissement accèdent à ce traitement pour les recrutements concernant leur établissement
Mise en place d'une procédure sur le recrutement.</t>
  </si>
  <si>
    <t>Professionnels</t>
  </si>
  <si>
    <t>Gestion administrative du personnel</t>
  </si>
  <si>
    <t>25/07/2024
10/07/2025</t>
  </si>
  <si>
    <t>Ajout des infos papier du service Paie</t>
  </si>
  <si>
    <t>Responsables RH</t>
  </si>
  <si>
    <t>Gestion administrative et paye du personnel</t>
  </si>
  <si>
    <t>- Gestion du dossier professionnel des salariés; (( CV, pièce administrative tel que casier judiciaire, carte d'identité, diplome, RIB, carte vitale, permis)
- gestion de la paie
- gestion des contrats de travail, avenants, documents disciplinaires
- réalisation d'états statistiques ou de listes d'employés pour répondre à des besoins de gestion administrative ; 
- gestion des élections professionnelles 
- gestion des réunions du CSE
- gestion des aptitudes médicales par rapport au poste
- gestion des mutuelles et prévoyances
- gestion des contacts en cas d'urgence
- gestion des absences (congés, maladie, évènements familaiux, …)
- gestion des accidents de travail (et presque accident) 
- gestion RQTH
- entretien de carrière / individuel
- gestion du droit à l'image
- gestion des mots de passe
- gestion des courrriers divers avec le salariés (démission, mécontentement,...)</t>
  </si>
  <si>
    <t>Salariés</t>
  </si>
  <si>
    <t>Nom, prénom, date de naissance, n°de tel, adresse mail, adresse postale
extrait bulletin casier judiciaire
permis / carte grise
numéro d'urgence-personne à prévenir</t>
  </si>
  <si>
    <t>Accès aux messageries professionnelles
Identifiants des sessions
Identifiants applications (liste)
Identifiants sites (liste)</t>
  </si>
  <si>
    <t>Situation de famille (enfant), vaccination</t>
  </si>
  <si>
    <t>revenus, données bancaires, taux d'imposition, saisie sur salaire</t>
  </si>
  <si>
    <t>CV, situation professionnelle, scolarité, formation, diplômes, expériences précédentes, situation professionnelle du conjoint, certificat de travail</t>
  </si>
  <si>
    <t>- données sur les mineurs et conjoint (nom, prénom, date de naissance pour congé paternité, maternité, )
- N° SS : déclaration d'embauche à l'URSAAF, adhésion mutuelle et prévoyance
- informations évènements familiaux (mariage, naissance, décès)
- titre de séjour + validité
- attestation RQTH
- appartenance à un syndicat
- attestation de la médecine du travail ou certificat médical scolaire
- casier judiciaire ou bulletin n°3</t>
  </si>
  <si>
    <t>NIR (N° SS) 
Condamnations pénales ou  infractions</t>
  </si>
  <si>
    <t>Par le salarié</t>
  </si>
  <si>
    <t>Bureau RH
Bureau Paie</t>
  </si>
  <si>
    <t>Dossier salarié dans armoire fermant à clé
Bulletin de paie dans un placard du bureau Pais fermé à clé
Archive bulletin de paie dans les bureaux Paie fermé clé ou dans une salle d'archives fermé à clé</t>
  </si>
  <si>
    <t>ALPHA GRH, EXCEL
Onedrive (DIME La Bretèche)
Serveur</t>
  </si>
  <si>
    <t>Accès réservé au service RH
Assistante de direction IME : Met à jour la BDD (ficher Excel) du personnel interne de l'établissement
Dossier partagé pour les chefs de services et directrice du DIME La Bretèche
Tableau Excel avec MDP de chacun sur le serveur de fichier accessible par tout le monde pour le SAVA Itinéraire bis</t>
  </si>
  <si>
    <t>Pas de délais au cours de l’exécution du contrat de travail  
Délais en cas de rupture du contrat de travail</t>
  </si>
  <si>
    <t>Pas de délais sauf en cas de rupture du contrat de travail : 
- 10 ans pour les bulletins de paie 
- 5 après pour les dossiers du personnel  
5 ans à l'IME</t>
  </si>
  <si>
    <t>Interne :
Service RH
Directeur, chefs de service
Prestataire informatique
secrétaire de direction IME 
Externe :
URSAAF, caisse de retraite, gestionnaire complémentaire santé et prévoyance</t>
  </si>
  <si>
    <t>Transmission des informations obligatoires</t>
  </si>
  <si>
    <t>Attention archivage papier RH accessible par toutes personnes ayant une clé de l'établissement de Saint symphorien.
ESAT : contrat de travail, Entretien pro et annuel (svg serveur et bureau de la directrice), vérif des permis, extrait de casier judiciaire, formation, suivi des rendez-vous médecine du travail</t>
  </si>
  <si>
    <t xml:space="preserve">Bureau de la direction
Bureau du personnel Les Fougères
Bureau de service Foyer Les Gantelles 
Bureau des salariés Foyer Les Gantelles </t>
  </si>
  <si>
    <t>Bannette individuelle contenant les dossiers du personnel avec nom-prénom sur chacune dans le bureau de la direction fermé à clé
Armoire fermée à clé contenant les registre du personnel dans le bureau de la direction fermé à clé
Affichage de l'annuaire salarié, Affichage des CR de réunions de service et Casier du personnel individuel avec cadenas fourni par l'établissement dans le bureau du personnel Les Fougères fermé à clé
Affichage des numéros de téléphone dans le bureau de service Foyer Les Gantelles fermé à clé
Bannette professionnelle, Affichage numéros de téléphone et Casier salarié avec cadenas dans le bureau des salariés Foyer Les Gantelles fermés à clé</t>
  </si>
  <si>
    <t>Interne :
Service RH
Directeur, chefs de service
Externe :
URSAAF, caisse de retraite, gestionnaire complémentaire santé et prévoyance</t>
  </si>
  <si>
    <t>Attention archivage papier dans chaque foyer, à regrouper au siège après complète intégration des 2 foyers
Copie des dossiers transmises au service RH</t>
  </si>
  <si>
    <t xml:space="preserve">Intérimaires </t>
  </si>
  <si>
    <t>Gestion des intérimaires</t>
  </si>
  <si>
    <t>Ajout du trt spécifique pour la résidence du parc des bois suite revue du trt
Ajout d'un commenraire</t>
  </si>
  <si>
    <t>Collecter et utiliser des données permettant d'accueillir des intérimaires (contrats, plannings,…)</t>
  </si>
  <si>
    <t>- gestion du dossier ( CV, pièce administrative tel que casier judiciaire, carte d'identité, diplome, RIB, carte vitale)
- gestion des conventions, contrat, documents disciplinaires
- réalisation d'états statistiques pour répondre à des besoins de gestion administrative ; 
- gestion des contacts en cas d'urgence
- gestion des absences (congés, maladie, évènements familaiux, …)
- gestion des heures
- Facturation</t>
  </si>
  <si>
    <t>Intérimaires</t>
  </si>
  <si>
    <t>Nom, prénom, date de naissance, n°de tel</t>
  </si>
  <si>
    <t>Rémunération</t>
  </si>
  <si>
    <t>Par l'intérimaire et l'agence intérim</t>
  </si>
  <si>
    <t>SKORANN (ancinnement Medicoop)</t>
  </si>
  <si>
    <t>Accès réservé aux directeurs, chef de service et service RH)</t>
  </si>
  <si>
    <t>SKORANN</t>
  </si>
  <si>
    <t>Ne sait pas</t>
  </si>
  <si>
    <t xml:space="preserve">
Interne : Chefs de service et directeurs, Secrétaires d'établissement
Externe : 
SKORANN
</t>
  </si>
  <si>
    <t xml:space="preserve">
Transmission des informations obligatoires</t>
  </si>
  <si>
    <t>Mise en place de CDD car une loi oblige les intérims à avoir 2 ans d'XP</t>
  </si>
  <si>
    <t>DIME La Bretèche
DIME L'espoir
DIME Rennes
Résidence La Combe
Résidences Les Gantelles et Les Fougères
SAVA Itinéraire Bis</t>
  </si>
  <si>
    <t>25/06/2024
23/08/2024
30/06/2025</t>
  </si>
  <si>
    <t>séparation des infos spécifique pour la résidence du parc des bois suite revue du trt
DIME La Bretèche : ajout de société d'intérim
Ajout commentaire pour Les Foyers</t>
  </si>
  <si>
    <t>Nom, prénom, date de naissance, n°de tel, adresse mail, matricule,  adresse postale</t>
  </si>
  <si>
    <t>Situation de famille (enfant)
Casier judiciaire</t>
  </si>
  <si>
    <t>CV
Formations, expériences précédentes</t>
  </si>
  <si>
    <t xml:space="preserve">
- informations évènements familiaux (mariage, naissance, décès
- titre de séjour + validité
</t>
  </si>
  <si>
    <t>SKORANN (Remplace Medicoop) avec le logiciel UNI TT
ADECCO médical
JOBANDBOX
APPEL Médical
CDD de l'asso La Bretèche pour Les foyers</t>
  </si>
  <si>
    <t>SKORANN
ADECCO médical
JOBANDBOX
APPEL Médical</t>
  </si>
  <si>
    <t>Propre à chaque société</t>
  </si>
  <si>
    <t>Directeur, Chef de services =&gt; accède aux dossiers pour l'admission
Foyer Les Gantelles et Les Fougères : utilise des CDD de l'asso La Bretèche</t>
  </si>
  <si>
    <t>Bureau de la comptable</t>
  </si>
  <si>
    <t>Fermé à clé</t>
  </si>
  <si>
    <t>AGRI Intérim, Job Intérim, …</t>
  </si>
  <si>
    <t>A voir avec les sociétés d'intérim</t>
  </si>
  <si>
    <t>Archivés mais pas détruit</t>
  </si>
  <si>
    <t xml:space="preserve">
Interne : Chefs de service et directeurs
Externe : Société d'intérim
</t>
  </si>
  <si>
    <t>Dématérialisation des élections professionnelles</t>
  </si>
  <si>
    <t>responsable RH</t>
  </si>
  <si>
    <t>Collecter les votes et les données nécessaire à l'identification pour le vote des élections</t>
  </si>
  <si>
    <t>- vote</t>
  </si>
  <si>
    <t>salariés</t>
  </si>
  <si>
    <t>nom , prénom, adresse mail, adresse postal</t>
  </si>
  <si>
    <t>date de niassance</t>
  </si>
  <si>
    <t>/</t>
  </si>
  <si>
    <t>par l'association</t>
  </si>
  <si>
    <t>oui</t>
  </si>
  <si>
    <t>Dans les bureaux d'AKG-SOLUTIONS situés au 1 rue de l'Artisanat à Ste Gemmes sur Loire, 49130</t>
  </si>
  <si>
    <t>Les bureaux sont protégés par un système d'alarme avec télésurveillance reliés à un centre de contrôle et de gardiennage 24/24. L'entrée principale se fait par clef + badge électronique. L'entrée dans le bureau se fait par une porte verrouillée à clef (différente de la porte principale). Les ordinateurs professionnels des salariés comportent tous un accès avec porte verrouillée + deux mots de passe (1 pour accéder au poste informatique et 1 pour accéder aux données de vote)</t>
  </si>
  <si>
    <t>Les données numériques sont stockées par l'hébergeur GANDI dans un datacenter situé à Paris et redondé à Marseille</t>
  </si>
  <si>
    <t>Accès réservé au service RH</t>
  </si>
  <si>
    <t>GANDI</t>
  </si>
  <si>
    <t>Durée des élections + 15 jours supplémentaires (obligation légale pour les élections CSE après clôture du vote)</t>
  </si>
  <si>
    <t xml:space="preserve">Interne :
Service RH
</t>
  </si>
  <si>
    <t>Validation des votes</t>
  </si>
  <si>
    <t>DIME La Bretèche
DIME L'espoir
DIME Rennes
ESAT Les espoirs
Résidence du parc des bois
Résidence La Combe
SAVA Itinéraire Bis</t>
  </si>
  <si>
    <t>Stagiaires</t>
  </si>
  <si>
    <t>Gestion des stagiaires salariés (gratifié ou non)</t>
  </si>
  <si>
    <t>25/06/2024
23/08/2024
26/09/2024
15/07/2025</t>
  </si>
  <si>
    <t>séparation des infos spécifique pour la résidence du parc des bois suite revue du trt
Ajout de donnée pour le DIME La Bretèche
Ajout de l'info pour la Résidence La Combe : pas d'accès à ces données
Ajout d'une précision pour le SAVS Mordelles (15/07/25)</t>
  </si>
  <si>
    <t>Collecter et utiliser des données permettant d'accueillir des stagiaires (convention, plannings,…)</t>
  </si>
  <si>
    <t>- gestion du dossier ;
- gestion des conventions, documents disciplinaires
- réalisation d'états statistiques pour répondre à des besoins de gestion administrative ; 
- gestion des contacts en cas d'urgence
- gestion des absences (congés, maladie, évènements familaiux, …)</t>
  </si>
  <si>
    <t>stagaires/apprentis</t>
  </si>
  <si>
    <t>Situation de famille (enfant)
Casier judiciaire, volet 3</t>
  </si>
  <si>
    <t>Formations, expériences précédentes (CV), RIB, permis de conduire, convention de stage</t>
  </si>
  <si>
    <t>- données sur les mineurs et  conjoint (nom, prénom, date de naissance pour congé paternité, maternité, ).
- N° SS : déclaration d'embauche à l'URSAAF, adhésion mutuelle et prévoyance
- informations évènements familiaux (mariage, naissance, décès)
- contact en cas d'urgence
- titre de séjour + validité
Casier judiciaire, volet 2 (via l'ARS)</t>
  </si>
  <si>
    <t>Bureau RH</t>
  </si>
  <si>
    <t>Dossier salarié dans armoire fermant à clé + informatique ( dossier du personnel)</t>
  </si>
  <si>
    <t>ALPHA GRH, EXCEL (de moins en moins)
Serveur</t>
  </si>
  <si>
    <t>Accès réservé au service RH
Accès User+mdp sur serveur pour les chefs de service</t>
  </si>
  <si>
    <t>non défini</t>
  </si>
  <si>
    <t>Non défini</t>
  </si>
  <si>
    <t>Interne :
Service RH
Directeur
Prestataire informatique
Chef de service
Externe :
URSAAF, caisse de retraite, gestionnaire complémentaire santé et prévoyance</t>
  </si>
  <si>
    <t>Gestion des droits d'accès
Diffusion des infos aux responsables
Transmission des informations obligatoires</t>
  </si>
  <si>
    <t>Projet Octime à venir pour la planification, phase pilote en novembre pour le SAVS Mordelles
Données sensibles au siège
Résidence La Combe : pas d'accès à ces données</t>
  </si>
  <si>
    <t>Gestion des stagiaires professionnels</t>
  </si>
  <si>
    <t>Modif du stockage physique et numérique des données</t>
  </si>
  <si>
    <t>- données sur les mineurs
- N° SS : déclaration d'embauche à l'URSAAF, adhésion mutuelle et prévoyance
- contact en cas d'urgence
- titre de séjour + validité</t>
  </si>
  <si>
    <t>bureau de l'assistante administrative 
Services RH et Paie au siège</t>
  </si>
  <si>
    <t>Convention de stage dans une armoire fermée à clé dans le bureau de l'assistante administrative fermé à clé
Bureaux des Services RH et Paie au siège fermés à clé</t>
  </si>
  <si>
    <t>Serveur de fichier
Logiciel de Paie</t>
  </si>
  <si>
    <t>User /Mdp</t>
  </si>
  <si>
    <t>Interne
Editeur</t>
  </si>
  <si>
    <t>Interne : Ass Adm, comptable, chef de service, directrice, service de paie
Externe :</t>
  </si>
  <si>
    <t>Bureau de la direction
Bureau du personnel Les Fougères</t>
  </si>
  <si>
    <t>Armoire fermée à clé contenant les Convention de stage et le registre des stagiaires dans le bureau de la direction fermé à clé
Boite à clés des outils, chaufferie et voitures dans le bureau du personnel Les Fougères fermé à clé</t>
  </si>
  <si>
    <t>Interne : Cheffe de service et AES
Externe :</t>
  </si>
  <si>
    <t>Gestion des stagiaires travailleurs ESAT</t>
  </si>
  <si>
    <t>Permettre de découvrir un nouvel environnement de travail</t>
  </si>
  <si>
    <t>Premier stage pour permettre de découvrir un nouvel environnement de travail
Deuxième stage, pour préparer une admission</t>
  </si>
  <si>
    <t>Demandeur, Familles et partenaires</t>
  </si>
  <si>
    <t>Nom d’usage
Nom de naissance
Prénom(s)
Date de naissance,
N° MSA/CAF, adresse, téléphone, email</t>
  </si>
  <si>
    <t>Situation familiale
Nombre d’enfant(s)
Etablissement d'origine, présence d’un aidant, 
prestation en place (SSIAD,  ADMR…)
Mesure de protection juridique</t>
  </si>
  <si>
    <t>Savoir fondamentaux (lire/écrire/compter)
CV
Bilans professionnels</t>
  </si>
  <si>
    <t>NIR
Données comportement et handicap</t>
  </si>
  <si>
    <t>Par le demandeur (usager / famille / xxx ) par mail ou courrier</t>
  </si>
  <si>
    <t xml:space="preserve">Bureau de la personne chargée d'accompagnement sociale </t>
  </si>
  <si>
    <t xml:space="preserve">Dans un classeur dans une armoire du bureau fermé à clé de la personne chargée d'accompagnement sociale </t>
  </si>
  <si>
    <t>Mediateam
Serveur de fichier</t>
  </si>
  <si>
    <t>Berger Levrault
Interne</t>
  </si>
  <si>
    <t>Interne :Service social, moniteur, service de paie (MISPE)
Externe :
MDPH</t>
  </si>
  <si>
    <t>Archives dans le bureau de la resp service sociale pour les stagiaires non admis</t>
  </si>
  <si>
    <t>Formation : OPCO</t>
  </si>
  <si>
    <t>Intégrer les données du salariés afin d'obtenir les financements de la formation</t>
  </si>
  <si>
    <t>- Création du dossier
- réalisation de statistique</t>
  </si>
  <si>
    <t xml:space="preserve">Nom, prénom, date de naissance, poste, établissement adresse postale, numéro de téléphone, adresse de courriel, nationalité, </t>
  </si>
  <si>
    <t>Diplôme, poste occupé, catégorie socioprofessionnelle, type de contrat de travail, RQTH, titre, certification professionnelle obtenue, attestation de fin de formation</t>
  </si>
  <si>
    <t xml:space="preserve">NIR : obligatoire pour toute demande de prise en charge de formation professionnelle </t>
  </si>
  <si>
    <t>OPCO</t>
  </si>
  <si>
    <t>Chez le prestaire</t>
  </si>
  <si>
    <t>OPCO SANTE</t>
  </si>
  <si>
    <t>Terminal de l’OPCO</t>
  </si>
  <si>
    <t xml:space="preserve">13 mois maximum </t>
  </si>
  <si>
    <t>10 ans maximum uniquement pour les opérations de gestion administrative et financière des demandes de formation</t>
  </si>
  <si>
    <t>Interne :
Service RH
Externe :
OPCO</t>
  </si>
  <si>
    <t>• Traiter les demandes de prise en charge de formation
• Collecter les contributions à la formation professionnelle
• Proposer une offre de services aux entreprises relevant de son champ d’intervention
• Apporter un appui technique aux branches adhérentes pour établir la GPEC
• Assurer le suivi des actions financées et acteurs associés
• Assurer la transmission des données de prise en charge au SI de l’Etat notamment AGORA et DECA (DGEFP)
• Prendre en compte les demandes d’information
• Communiquer à travers des campagnes téléphoniques ou d’e-mailing
• Permettre de postuler à des offres d’emploi
• Gérer l’adhésion aux différents services fournis par ses plateformes
• Assurer la gestion amiable des contentieux engendrés par son activité
• Assurer la gestion des instances constitutives d’OPCO Santé
• Réaliser des statistiques d’audience afin d’améliorer et proposer une expérience de navigation optimale</t>
  </si>
  <si>
    <t>non</t>
  </si>
  <si>
    <t>so</t>
  </si>
  <si>
    <t>Usagers 
Familles et proches des usagers
Professionnels
Sous traitants
Membre du CA
Elus</t>
  </si>
  <si>
    <t>Gestion financière</t>
  </si>
  <si>
    <t>Modification de l'emplacement des documents</t>
  </si>
  <si>
    <t>RAF</t>
  </si>
  <si>
    <t>- Facturation des usagers
- Reporting financier
- Réglements et facturation</t>
  </si>
  <si>
    <t>Usagers, sous-traitants</t>
  </si>
  <si>
    <t>Nom, prénom, adresse, tel</t>
  </si>
  <si>
    <t>Login, IP, Mot de passe possible</t>
  </si>
  <si>
    <t>Par l'usager ou sa famille, par les sous-traitants</t>
  </si>
  <si>
    <t>Bureau des comptables</t>
  </si>
  <si>
    <t>Factures fournisseurs papier dans le bureau des comptables fermé à clé</t>
  </si>
  <si>
    <t>Serveur de fichier</t>
  </si>
  <si>
    <t>Accès à revoir pour savoir qui accès (Refonte des serveurs en cours)</t>
  </si>
  <si>
    <t>Aucune</t>
  </si>
  <si>
    <t>Illimité</t>
  </si>
  <si>
    <t>Interne : RAF et Services Comptabilité
Externe : Expert comptable, CAC</t>
  </si>
  <si>
    <t>Bilan comptable</t>
  </si>
  <si>
    <t>Revoir les droits d'accès au répertoire RAF</t>
  </si>
  <si>
    <t>Professionnels &amp; intérimaires</t>
  </si>
  <si>
    <t>Gestion de la planification</t>
  </si>
  <si>
    <t>27/09/2024
03/06/2025</t>
  </si>
  <si>
    <t>Modif du stockage physique et numérique des données
Ajout info Octime</t>
  </si>
  <si>
    <t>Collecter et utiliser des données permettant de gérer les équipes (plannings, congés, remplacements, mobilisation en cas de crise ou situation d’urgence…)</t>
  </si>
  <si>
    <t>Salariés, intérimaires</t>
  </si>
  <si>
    <t>Nom, prénom</t>
  </si>
  <si>
    <t>Situation de famille (enfant)</t>
  </si>
  <si>
    <t>Ancienneté</t>
  </si>
  <si>
    <t>Couloir de l'ESAT
Bureau des moniteurs</t>
  </si>
  <si>
    <t>InfoHebdo dans le couloir de l'ESAT (absences et arrivées)
Fiche horaire vierge dans une bannette dans le couloir
Affichage des plannings dans le couloir et répartition des usagers/monteurs dans le bureau des moniteurs</t>
  </si>
  <si>
    <t>Serveur de fichier
Mail
OCTIME</t>
  </si>
  <si>
    <t>Interne
Octime</t>
  </si>
  <si>
    <t xml:space="preserve">Interne : tout les salariés et les usagers
Externe :
</t>
  </si>
  <si>
    <t>Projet en cours avec Octime (pour les travailleurs : quasi déployé, espère l'utiliser avant les congés d'été, Contient des éléments de salaire)</t>
  </si>
  <si>
    <t>Pas de données sensibles gérées</t>
  </si>
  <si>
    <t>Nom, prénom, date de naissance, n° de tel, adresse mail, adresse postale</t>
  </si>
  <si>
    <t>Bureau secrétaire de direction et directeur</t>
  </si>
  <si>
    <t>Interne : Chefs de service et directeurs
Externe :</t>
  </si>
  <si>
    <t>Projet en cours avec Octime</t>
  </si>
  <si>
    <t>Plus de données sensibles collectées</t>
  </si>
  <si>
    <t>Accueil &amp; Bureaux</t>
  </si>
  <si>
    <t>Affichage planning à l'accueil et dans les bureaux</t>
  </si>
  <si>
    <t>Octime
Serveur de fichier</t>
  </si>
  <si>
    <t>Accès User + MDP
Un dossier par salarié avec accès à tous</t>
  </si>
  <si>
    <t>Editeur
Interne</t>
  </si>
  <si>
    <t>1 An</t>
  </si>
  <si>
    <t>4 ans</t>
  </si>
  <si>
    <t>Interne : Secrétaire et chef de service
Externe : SO</t>
  </si>
  <si>
    <t>Projet en cours avec Octime (2026)</t>
  </si>
  <si>
    <t>Ajout de précision sur la partie commentaire (15/07/25)</t>
  </si>
  <si>
    <t>Serveur de fichier, répertoire SAVA</t>
  </si>
  <si>
    <t>Accès réservé aux salariés du SAVA</t>
  </si>
  <si>
    <t>Projet en cours avec Octime, phase pilote en novembre</t>
  </si>
  <si>
    <t>Ajout du trt spécifique pour la résidence du parc des bois suite revue du trt
Ajout d'un commentaire</t>
  </si>
  <si>
    <t>Bureau du responsable</t>
  </si>
  <si>
    <t>Dans une armoire du bureau du responsable contenant une copie du casier judiciaire, contrat de travail et entretien pro</t>
  </si>
  <si>
    <t>Interne : tout les salariés
Externe :</t>
  </si>
  <si>
    <t>Archivage gérée par le service RH du siège
Partie papier en cours d'envoi au siège</t>
  </si>
  <si>
    <t>DIME La Bretèche
DIME L'espoir
DIME Rennes
Résidence La Combe
SAVA Itinéraire Bis</t>
  </si>
  <si>
    <t>25/06/2024
23/08/2024
26/09/2024
10/07/2025</t>
  </si>
  <si>
    <t>séparation des infos spécifique pour la résidence du parc des bois suite revue du trt
Ajout de l'emplacement physique au DIME La Bretèche
Remarque sur la réception du planning pour la résidence La Combe
2025 - Service Paie - Ajout info SI</t>
  </si>
  <si>
    <t>Salle du personnel au DIME La Bretèche</t>
  </si>
  <si>
    <t>Horaires affichées en salle du personnel au DIME La Bretèche</t>
  </si>
  <si>
    <t>Serveur de fichier
Octime</t>
  </si>
  <si>
    <t>Accès User + MDP
User + Mdp</t>
  </si>
  <si>
    <t>Projet en cours avec Octime, déjà utilisé par le service Paie pour l'alimenter
Résidence La Combe : le salarié recoit son planning avce son contrat de travail annuellement. Les modifications sont affichés sur le répertoire S Service du serveur de fichier</t>
  </si>
  <si>
    <t xml:space="preserve">Bureau du personnel Les Fougères
Bureau de service Foyer Les Gantelles 
Bureau des salariés Foyer Les Gantelles </t>
  </si>
  <si>
    <t>Affichage du planning dans le bureau du personnel Les Fougères fermé à clé
Affichage du planning dans le bureau de service Foyer Les Gantelles fermé à clé
Affichage planning dans le bureau des salariés Foyer Les Gantelles fermés à clé</t>
  </si>
  <si>
    <t xml:space="preserve">Siège
Résidence La Combe
SAVA Itinéraire Bis
</t>
  </si>
  <si>
    <t>Gestion des accès clés</t>
  </si>
  <si>
    <t>04/07/2024
26/09/2024
24/07/2025</t>
  </si>
  <si>
    <t>Les clés sont gérés en local sur chaque site et non plus par la cadre en batiment
Résidence de La Combe : géré par l'agent de maintenance
Ajout commentaire 24/07/25</t>
  </si>
  <si>
    <t>Directeurs des établissements
Agents techniques</t>
  </si>
  <si>
    <t>Permettre à chacun d'accéder aux bureau et zones utiles à son travail</t>
  </si>
  <si>
    <t>- Gestion des entrées / sorties
- Suivi des présents
- Gestion des alarmes liées aux accès
- Gestion des accès aux zones sécurisées
- Journalisation des accès</t>
  </si>
  <si>
    <t>Externes (clients, visiteurs sous-traitants, candidats, …)
Salariés</t>
  </si>
  <si>
    <t>Nom, Prénom</t>
  </si>
  <si>
    <t>Par les salariés</t>
  </si>
  <si>
    <t>Boite à clés au siège
Dans chaque établissement de façon autonome
Bureau de l'agent de maintenance de la résidence La Combe</t>
  </si>
  <si>
    <t>Code d'accès donné à tous les salariés du siège, boite à clé en face de l'assistante de direction
Feuille affichée dans un tiroir dans le bureau de l'agent de maintenance de la résidence La Combe fermé à clé</t>
  </si>
  <si>
    <t>Interne : Personnes intéressées, Directeurs d'établissement, agents techniques
Externe :</t>
  </si>
  <si>
    <t>Gestion des clés en cours au siège suite au déménagement, accès clé au batiment plus un accès par bureau (en cours de mise en place), les RH suivent l'attribution des clés</t>
  </si>
  <si>
    <t>Ajout du trt spécifique pour la résidence du parc des bois suite revue du trt</t>
  </si>
  <si>
    <t>Responsable cadre bâtiment
Agents techniques</t>
  </si>
  <si>
    <t>Bureau du directeur</t>
  </si>
  <si>
    <t>Organigramme des clés dans le bureau du directeur fermé à clé</t>
  </si>
  <si>
    <t>AJP
Mediateam</t>
  </si>
  <si>
    <t>AJP 
Berger Levrault</t>
  </si>
  <si>
    <t>Supprimer au départ du salarié</t>
  </si>
  <si>
    <t>Interne : Personnes intéressées, copie Responsable cadre Bâtiment
Externe :</t>
  </si>
  <si>
    <t>Professionnels/usagers</t>
  </si>
  <si>
    <t>Ajout boite à clés</t>
  </si>
  <si>
    <t>Permettre à chacun d'accéder aux bureau et zones utiles à son travail ou pour son quotidien</t>
  </si>
  <si>
    <t>- Gestion des entrées / sorties
- Suivi des présents
- Gestion des accès aux zones sécurisées</t>
  </si>
  <si>
    <t>Usagers
Salariés</t>
  </si>
  <si>
    <t>Armoire à clés des résidences et double des casiers des salariés du bureau de la direction fermé à clé
Armoire à clés des outils, chaufferie et voitures dans le bureau du personnel Les Fougères fermé à clé
Boite à clés dans le couloir des Gantelles - clés de secours</t>
  </si>
  <si>
    <t>Interne : Cheffe de service
Externe :</t>
  </si>
  <si>
    <t>Médaillon donné aux résidents pour ouvrir depuis l'intérieur de la structure leur porte de logement ou de l'établissement</t>
  </si>
  <si>
    <t>Fichier de suivi mis en place en 2024
Chgt emplacement physique et commentaire - 28/07/25</t>
  </si>
  <si>
    <t>Agent technique</t>
  </si>
  <si>
    <t>numéro de clé</t>
  </si>
  <si>
    <t>Bureau de l'agent d'entretien (Résidence La Combe)</t>
  </si>
  <si>
    <t>Maison est fermée à clé, listing des détenteurs des clés</t>
  </si>
  <si>
    <t>Serveur</t>
  </si>
  <si>
    <t>User / Mdp</t>
  </si>
  <si>
    <t>Interne : Cheffe de service, homme d'entretien
Externe :</t>
  </si>
  <si>
    <t>Fichier mis en place en 2024, sera que Qualiéno après la formation prévue en septembre</t>
  </si>
  <si>
    <t>25/06/2024
15/07/2025</t>
  </si>
  <si>
    <t>Modif du commentaure car futur projet de gestion des clés
Ajout de précision sur la partie commentaire (15/07/25)</t>
  </si>
  <si>
    <t>Directrice</t>
  </si>
  <si>
    <t>Gestion des entrées / sorties</t>
  </si>
  <si>
    <t>Nom de l'entreprise</t>
  </si>
  <si>
    <t>Interne : 
Externe :</t>
  </si>
  <si>
    <t>Chacun à une clé, géré par la cheffe de service
Mise en place d'une attestation de remise de matériel à faire signer puis déposée dans Qualinéo</t>
  </si>
  <si>
    <t>Gestion des accès clés / badges / Digicodes</t>
  </si>
  <si>
    <t>Modification de l'emplacement physique et numérique</t>
  </si>
  <si>
    <t>Nom, Prénom, numéro de badge</t>
  </si>
  <si>
    <t>numéro de badge</t>
  </si>
  <si>
    <t>Journalisation d'évènements (données traitées uniquement en cas de besoin sécurité)</t>
  </si>
  <si>
    <t>Lecteurs de badges</t>
  </si>
  <si>
    <t>Bureau de l'agent technique IME
Serveur administratif</t>
  </si>
  <si>
    <t>Affichage des organigrammes papier des clés dans le bureau de l'agent technique IME fermé à clé
Boite à clé des doubles près du serveur administratif fermé à clé</t>
  </si>
  <si>
    <t>IPEVIA (Badge)</t>
  </si>
  <si>
    <t>Assistante de direction : User/mdp</t>
  </si>
  <si>
    <t>Castel</t>
  </si>
  <si>
    <t xml:space="preserve">Interne : Agent technique, secrétaire de direction IME
Externe :
</t>
  </si>
  <si>
    <t>La secrétaire de direction crée une lettre de décharge</t>
  </si>
  <si>
    <t>Modification de l'emplacement physique et de la durée de conservation
18/07/2025 - Ajout emplacement boitte à clés</t>
  </si>
  <si>
    <t>Maison Patton
Extérieur de l'internat
Infirmerie
Secrétariat</t>
  </si>
  <si>
    <t>Attestation de remise des clés stockée au secrétariat du DIME La Bretèche
Boite à clés : Maison Patton à Rennes à l'extérieur de l'internat, à l'infirmerie et au secrétariat</t>
  </si>
  <si>
    <t>Stockage au secrétariat dans une armoire</t>
  </si>
  <si>
    <t xml:space="preserve">Interne : DIME La Bretèche
Externe :
</t>
  </si>
  <si>
    <t>Gestion des accès clés / badges (portail) / Digicodes (portail et alarme)</t>
  </si>
  <si>
    <t>Code de digicodes</t>
  </si>
  <si>
    <t>Bureau de la directrice 
Accueil</t>
  </si>
  <si>
    <t>Carnet de suivi, double des clés dans le bureau de la directrice 
Double des clés des vestiaires des travailleurs dans un local à l'accueil fermé à clé</t>
  </si>
  <si>
    <t xml:space="preserve">Interne : les salariés
Externe :
</t>
  </si>
  <si>
    <t>Bureau de l'agent de maintenance</t>
  </si>
  <si>
    <t>Répertoire de l'agent de maintenance</t>
  </si>
  <si>
    <t>Professionnels, usagers 
Familles et proches des usagers</t>
  </si>
  <si>
    <t>Gestion des évènements indésirables</t>
  </si>
  <si>
    <t>Gestion des évènements indésirables survenues au sein de l'organisme</t>
  </si>
  <si>
    <t>- Assurer la remontée des informations aux instances et autorités compétentes concernant des dysfonctionnements graves ou évènements pouvant compromettre la santé, la sécurité ou le bien-être des usagers
- Etablir des statistiques
- Evaluer la qualité des activités et prestations et les améliorer si besoin
- Identification de besoins à couvrir
- Garantir le respect des droits des personnes accompagnées
- Garantir la protection des biens et des personnes</t>
  </si>
  <si>
    <t>Toute personne</t>
  </si>
  <si>
    <t>Toute donnée selon la situation</t>
  </si>
  <si>
    <t>Toute personne témoin de l'évènement</t>
  </si>
  <si>
    <t>Bureau de la secrétaire de direction de l'IME</t>
  </si>
  <si>
    <t>IME : Cahier de tracabilité des plaintes et réclamations, remplacé par Qualinéo</t>
  </si>
  <si>
    <t>Qualinéo</t>
  </si>
  <si>
    <t xml:space="preserve">Interne : Personnes utiles suivant la situation
Externe :
</t>
  </si>
  <si>
    <t>Précision en commentaire pour les évènements concernant un salarié
18/07/2025 ajout de Qualinéo</t>
  </si>
  <si>
    <t>Secrétariat</t>
  </si>
  <si>
    <t>Classeur dans une armoire fermée à clé</t>
  </si>
  <si>
    <t>Serveur One Drive
Qualinéo</t>
  </si>
  <si>
    <t>Interne
Qualinéo</t>
  </si>
  <si>
    <t>Interne : Personnes utiles suivant la situation
Externe : ARS (CORSSI), informations préoccupantes, signalements au procureur</t>
  </si>
  <si>
    <t>Les fiches concernant un personnel sont différentiées des autres fiches, stockées dans un autre classeur et dossier numérique (non accessible à tous)
Qualinéo depuis juillet - pas de reprise des stocks</t>
  </si>
  <si>
    <t>Mise en place de l'outil Qualinéo en 2025
Modif lié à Qualinéo - 28/07/25</t>
  </si>
  <si>
    <t>Ajout de précision sur la partie emplacement numérique (15/07/25)</t>
  </si>
  <si>
    <t>Mediateam
Qualinéo</t>
  </si>
  <si>
    <t>Berger Levrault
Qualinéo</t>
  </si>
  <si>
    <t>Interne : Personnel concerné
Externe : ARS et/ou CD35</t>
  </si>
  <si>
    <t>Mediateam seulement pour les évènements concernant les usagers, pas les salariés, ni les structures</t>
  </si>
  <si>
    <t xml:space="preserve">directeur et chefs de service </t>
  </si>
  <si>
    <t>Bureau de l'assistante administrative 
Accueil</t>
  </si>
  <si>
    <t>Document papier archivé dans le dossier des usagers, bureau de l'assistante adlinistrative fermé à clé
Cahier des plaintes et des réclmations auprès de l'assistate commerciale à l'accueil fermée à clé</t>
  </si>
  <si>
    <t>Serveur
Mediateam</t>
  </si>
  <si>
    <t xml:space="preserve">Avec QUALINEO, procédure faite mais pas mise en place suite arrivée du new dir de l'autre ESAT (ESTA La Simmonière : seul établissement n'ont encore totalement déployé, prévu pour cet été, gestion des Evènements indésirables, Incident technique et Procédure qualité)
Procédure </t>
  </si>
  <si>
    <t>Accessible que par la direction</t>
  </si>
  <si>
    <t>Interne : Personnes concernées
Externe : Personnes concernées</t>
  </si>
  <si>
    <t>Personnes concernées par l'évènement indésirable</t>
  </si>
  <si>
    <t>Projet de mise ne place du logiciel Qualinéo en cours</t>
  </si>
  <si>
    <t>Résidence du parc des bois
Résidences Les Gantelles et Les Fougères
SAVA Itinéraire Bis</t>
  </si>
  <si>
    <t>20/06/2024
24/06/2025</t>
  </si>
  <si>
    <t>Changement de gestionnaire
Mise en place de Qualinéo</t>
  </si>
  <si>
    <t>Responsable qualité</t>
  </si>
  <si>
    <t>User + MDP (lié au compte réseau)</t>
  </si>
  <si>
    <t>2024 - Qualinéo : Gestion des évènements indésirables et gestion des plaintes</t>
  </si>
  <si>
    <t>Séparation de ce traitement pour la résidence La Combe</t>
  </si>
  <si>
    <t>Bureau de la cheffe de service de la résidence La Combe</t>
  </si>
  <si>
    <t>Dans un classeur du Bureau de la cheffe de service de la résidence La Combe fermé à clé</t>
  </si>
  <si>
    <t>Nouveau logiciel de gestion des événements indésirables déployé courant du dernier trimestre 2024 - Qualinéo : Gestion des évènements indésirables et gestion des plaintes</t>
  </si>
  <si>
    <t>Usagers 
Familles et proches des usagers
Professionnels
Bénévoles</t>
  </si>
  <si>
    <t>Gestion des bénévoles</t>
  </si>
  <si>
    <t>Assistante de direction</t>
  </si>
  <si>
    <t>Collecter et utiliser des données permettant de contacter les bénévoles</t>
  </si>
  <si>
    <t>Gestion des bénévoles 
Réunir les bénévoles dans le cadre du conseil d'administration
Statistiques animation</t>
  </si>
  <si>
    <t>Bénévoles</t>
  </si>
  <si>
    <t>Nom, prénom, date de naissance, n°de tel, adresse mail, adresse postale, puissance fiscale du véhicule</t>
  </si>
  <si>
    <t>Droit à l'image</t>
  </si>
  <si>
    <t>Mission</t>
  </si>
  <si>
    <t>Le bénévole</t>
  </si>
  <si>
    <t>Bureau de l'assistante de direction</t>
  </si>
  <si>
    <t>Armoire fermée à clé dans le bureau de l'assistante de direction</t>
  </si>
  <si>
    <t>Serveur RH + mail</t>
  </si>
  <si>
    <t>Mot de passe</t>
  </si>
  <si>
    <t>Pas de délai</t>
  </si>
  <si>
    <t>Durée du bénévolat</t>
  </si>
  <si>
    <t xml:space="preserve">Interne : Assistante de direction, CA, service RH, directeurs
Externe : Bénévoles </t>
  </si>
  <si>
    <t>Invitation et compte-rendu pour les bénévoles</t>
  </si>
  <si>
    <t>Gestion des clients de l'ESAT</t>
  </si>
  <si>
    <t>Processus en cours d'écriture</t>
  </si>
  <si>
    <t>directeur</t>
  </si>
  <si>
    <t>Gestion des clients</t>
  </si>
  <si>
    <t>Gestion de la facturation, suivi de la clientèle, devis et signature de contrat</t>
  </si>
  <si>
    <t>Clients</t>
  </si>
  <si>
    <t>Nom, prénom, adresse, téléphone, mail</t>
  </si>
  <si>
    <t>Bureau des MPA
Burau de l'assistante commerciale
Bureau de la comptable</t>
  </si>
  <si>
    <t>Bureau des MPA peuvent fermer à clé
Burau de l'assistante commerciale fermé à clé
Bureau de la comptable fermé à clé</t>
  </si>
  <si>
    <t>Serveur
GESCO
La GRAINE</t>
  </si>
  <si>
    <t xml:space="preserve">Interne : MPA, moniteurs, comptable, assistante commerciale, directrice
Externe : clients
</t>
  </si>
  <si>
    <t>Devis, contrat et facture</t>
  </si>
  <si>
    <t>Processus de gestion commercial en cours d'écriture (tout suivre en dématérialisé)</t>
  </si>
  <si>
    <t>DIME La Bretèche
DIME L'espoir
DIME Rennes
ESAT LA Simonière
ESAT Les espoirs
Résidence du parc des bois
Résidence La Combe
SAVA Itinéraire Bis
SAVS Tinténiac</t>
  </si>
  <si>
    <t>Usagers 
Familles et proches des usagers
Professionnels
Membre du CA
Elus</t>
  </si>
  <si>
    <t>Fonctionnement des instances</t>
  </si>
  <si>
    <t>25/06/2024
23/08/2024
26/09/2024
27/09/2024
19/12/2024
03/06/2025
15/07/2025
17/07/2025
18/07/2025
28/07/2025</t>
  </si>
  <si>
    <t>Modification en commentaire des infos de trt des CR CVS (infos résidence du parc des bois)
Info en commentaire sur les RP pour le DIME La bretèche
CR sur le serveur S pour la Résidence La Combe
Info en commentaire pour l'ESAT la Simonière
Ajout de l'AG des travailleurs pour l'ESAT Les espoirs
Ajout info ESAT La Simmonière
Ajout info papier pour SAVS Mordelles
Ajoint infos papier pour DIME Rennes
Ajout infos papier DIME La Bretèche (18/07/25)
Ajout commentaire - 28/07/25</t>
  </si>
  <si>
    <t>Collecter et utiliser des données permettant de réunir les instances (bureau, CA, CVS, représentant de proximité...) et de communiquer les compte-rendus ou autres documents</t>
  </si>
  <si>
    <t>- Réunion les instances
- Communiquer les informations des instances
- Réaliser des statistiques 
- Fonctionnements pour répondre à des besoins de gestion administrative</t>
  </si>
  <si>
    <t>Professionnels
Membre du CA
Elus
Membre du CVS
Membre de l'AG Travailleurs
Financeurs
Partenaires</t>
  </si>
  <si>
    <t>Nom, prénom, date de naissance, n°de tel, adresse mail, adresse postale</t>
  </si>
  <si>
    <t>Le représentant</t>
  </si>
  <si>
    <t>Bureau de l'assistante de direction
Bureau de la directrice 
Atelier de l'ESAT
Tous les établissements
Couloir de l'ESAT la simonière
Bureau de la cheffe de service du SAVS Mordelles
Bureau de l'assistante de direction du DIME Rennes
Hall du DIME Rennes
DIME La Bretèche</t>
  </si>
  <si>
    <t>Armoire fermée à clé dans le bureau de l'assistante de direction
Compte-rendu dans le bureau de la directrice fermé à clé
 Affichage dans tous les établissements
Cahier des comptes rendu de réunion RP dans le couloir de l'ESAT la simonière
CR de réunion hebdomadaire équipe dans un classeur dans le bureau de la cheffe de service du SAVS Mordelles
Dossier du CVS Bureau de l'assistante de direction du DIME Rennes fermé à clé
Affichage des CR, liste élus et règlement intérieur dans le Hall du DIME Rennes
Classeur des comptes-rendus des délégués du personnel dans la salle du personnel du DIME La Bretèche</t>
  </si>
  <si>
    <t>Serveur &amp; Mail &amp; Toutateam</t>
  </si>
  <si>
    <t>Fichier de suivi du Conseil d'administration dans le cloud avec accès restreint au Dir &amp; Ass Dir
Boite mail accessible par tous les salariés</t>
  </si>
  <si>
    <t xml:space="preserve">Interne : Gestionnaire RH, Assistante de direction, secrétaires, Directeur Général, membres des instances
Externe : Membres externes
</t>
  </si>
  <si>
    <t>Invitation et compte-rendu pour les membres externes</t>
  </si>
  <si>
    <t>Conseil d'administration
Journal associatif (Sollicite le droit à l'image)
Fichier des adhérent du graal 35
Fichier des vœux avec en plus les partenaires
Accès au fichier CSE (liste des membres)
CVS : envoi à toutes les familles des infos de vote, CR stocké sur le serveur, envoi du CR aux familles, affichage du CR dans l'espace Usagers
Tous les etablissements : envoi du CR à tous les professionnels par mail
Résidence La Combe : CR sur le serveur S
ESAT : Nomme des délégués aux personnes et bientôt une commission mixte
ESAT : AG des travailleurs mensuelle sans nom, afficher en salle de pause
ESAT La Simmonière : Journal interne diffusée au personnes du CVS et à disposition au siège, on peut avoir une interview d'un professionnel (consentement)
SAVS Tinténiac - Qualinéo &amp; Envoi mail - CR CSE &amp; DP</t>
  </si>
  <si>
    <t>Ajout envoi par mail</t>
  </si>
  <si>
    <t>Professionnels
Membre du CA
Elus
Membre du CVS
Financeurs
Partenaires</t>
  </si>
  <si>
    <t xml:space="preserve">Salle commune Les Fougères
Couloir Foyer Les Gantelles
Bureau des salariés Foyer Les Gantelles 
</t>
  </si>
  <si>
    <t xml:space="preserve">Affichage des CR de CVS dans la salle commune Les Fougères
Affichage CR CVS dans le couloir Foyer Les Gantelles
Affichage CR CVS dans le bureau des salariés Foyer Les Gantelles fermés à clé
</t>
  </si>
  <si>
    <t>Mail</t>
  </si>
  <si>
    <t xml:space="preserve">Envoi du CR par mail à tous les membres du CVS </t>
  </si>
  <si>
    <t xml:space="preserve">Interne : Salariés et usagers
Externe : Membres externes
</t>
  </si>
  <si>
    <t>Logs</t>
  </si>
  <si>
    <t>Gestion du SI / Logs / AD</t>
  </si>
  <si>
    <t>Responsable informatique</t>
  </si>
  <si>
    <t>Tracabilité des actions informatiques</t>
  </si>
  <si>
    <t>- Gestion des droits d'accès aux application et réseau
- Gestion du parc informatique
- Getsion de la téléphonie (fixe, mobile, bip)
- Gestion des annuaires internes
- Journalisation des évènements
- Gestion des logs réseaux et applicatifs
- Concervation des preuves
- Gestion des fichiers 
- Gestion téléphonie mobile
-  Sauvegardes / archivage</t>
  </si>
  <si>
    <t>Salariés, Stagiaires/Apprenti</t>
  </si>
  <si>
    <t>Nom, prénom, adresse IP, N° de poste et N° de portable professionnel, date d'entrée et/ou de sortie</t>
  </si>
  <si>
    <t>Login, IP, Mot de passe possibe</t>
  </si>
  <si>
    <t>NON</t>
  </si>
  <si>
    <t>Profil d'accès</t>
  </si>
  <si>
    <t>Journalisation d'évènements (données traitées uniquement en cas d'incident sécurité)</t>
  </si>
  <si>
    <t>Jounalisation, administration, mise à disposition, annuaire</t>
  </si>
  <si>
    <t>Bretagne Télécom</t>
  </si>
  <si>
    <t>Droits d'acces validé par la Direction</t>
  </si>
  <si>
    <t>Durée du contrat</t>
  </si>
  <si>
    <t>14 jours</t>
  </si>
  <si>
    <t>Interne :
Externe :
AJP (avec hébergement chez Bretagne télécom)</t>
  </si>
  <si>
    <t>Hébergeur</t>
  </si>
  <si>
    <t>Hébergement à ChateauBourg, à voir le contrat de sous-traitance sur la durée de conservation des logs</t>
  </si>
  <si>
    <t>Gestion du site internet</t>
  </si>
  <si>
    <t>Responsabkle du service informatique / LINKEO</t>
  </si>
  <si>
    <t>- Preparation et publication de contenu
- Mise en ligne de formulaire de contact
- Dépôt de CV et de lettre de motivation
- Gestion de la sécurité du site
- Production de statistiques d'audience
- Mise à disposition d'informations interne à la structure
- Don via HelloAsso</t>
  </si>
  <si>
    <t>Salariés, Stagiaires/Apprenti, publique</t>
  </si>
  <si>
    <t>nom prénom des contacts commerciaux, adresse,  téléphone portable et bureau, @IP</t>
  </si>
  <si>
    <t>Login, IP, Mot de pass possibe</t>
  </si>
  <si>
    <t>Pays</t>
  </si>
  <si>
    <t>Données relatives à la navigation</t>
  </si>
  <si>
    <t>Par l'hebergeur</t>
  </si>
  <si>
    <t>oui (statistiques d'audience)</t>
  </si>
  <si>
    <t xml:space="preserve">O2Switch </t>
  </si>
  <si>
    <t>Droits d'acces administration pour le Secrétariat direction générale, RH, plateforme Sport et Culture et le responsable informatique</t>
  </si>
  <si>
    <t>Chez le prestataire (O2Switch via OVH)</t>
  </si>
  <si>
    <t>Interne :
Externe : OVH, MAMOTO</t>
  </si>
  <si>
    <t>A voir durée de conservation avec Mamoto
Projet de refonte des sites internet en 2025</t>
  </si>
  <si>
    <t>clients et fournisseurs</t>
  </si>
  <si>
    <t>Progiciel de gestion intégré WORKPLAN</t>
  </si>
  <si>
    <t>Ajout d'un commentaire
Modif du commentaire (19/08/25)</t>
  </si>
  <si>
    <t>Laurent PIEN</t>
  </si>
  <si>
    <t>ERP</t>
  </si>
  <si>
    <t>clients fournisseurs</t>
  </si>
  <si>
    <t>nom prénom des contacts commerciaux, adresse,  téléphone portable et bureau</t>
  </si>
  <si>
    <t>RIB clients et fournisseurs</t>
  </si>
  <si>
    <t>par le client ou le fournisseur</t>
  </si>
  <si>
    <t>WORKPLAN</t>
  </si>
  <si>
    <t>accès réservé et droits d'accès (identification mot de passe) selon les fonctions</t>
  </si>
  <si>
    <t>OVH?</t>
  </si>
  <si>
    <t>10 ans</t>
  </si>
  <si>
    <t>Interne : chef d'atelier, responsable commercial, comptable
Externe : Clients &amp; Fournisseurs</t>
  </si>
  <si>
    <t>facturation des clients et règlement des fournisseurs</t>
  </si>
  <si>
    <t>Projet de changement de logiciel, passage à GESCO en stand by</t>
  </si>
  <si>
    <t>DIME La Bretèche
DIME L'espoir
DIME Rennes
ESAT LA Simonière
ESAT Les espoirs
Résidence du parc des bois
Résidence La Combe
Résidences Les Gantelles et Les Fougères
SAVA Itinéraire Bis
SAVS Tinténiac</t>
  </si>
  <si>
    <t>Progiciel de suivi du dossier unique de l'usager           MEDIATEAM</t>
  </si>
  <si>
    <t>Modification de l'emplacement numérique</t>
  </si>
  <si>
    <t>MEDIALIS éditeur du logiciel</t>
  </si>
  <si>
    <t>suivi du projet social et professionnel de l'usager</t>
  </si>
  <si>
    <t>Statistiques ?</t>
  </si>
  <si>
    <t>personnes accueillies, usagers bénéficiaires</t>
  </si>
  <si>
    <t>N/A</t>
  </si>
  <si>
    <t>Données de vie sociale</t>
  </si>
  <si>
    <t>Prestations handicap</t>
  </si>
  <si>
    <t>Projet professionnel dont formations, expériences antérieures</t>
  </si>
  <si>
    <t>nom prénom date de naissance des enfants, n° SS,  attestation RQTH, orientation MDPH; contrat d'aide et de soutien, contrat de séjour, dossier médical, contact en cas d'urgence</t>
  </si>
  <si>
    <t>Par les assistantes / éducateurs</t>
  </si>
  <si>
    <t>Connexion avec authentification forte via un certificat</t>
  </si>
  <si>
    <t>aucune</t>
  </si>
  <si>
    <t>Gérée par l'éditeur BL</t>
  </si>
  <si>
    <t>Interne : Tous le personnel sauf agent d'entretien et de restauration</t>
  </si>
  <si>
    <t>clients</t>
  </si>
  <si>
    <t>logiciel de gestion commerciale LA GRAINE INFORMATIQUE</t>
  </si>
  <si>
    <t>gestion commerciale</t>
  </si>
  <si>
    <t>par leclient ou le fournisseur</t>
  </si>
  <si>
    <t>LA GRAINE INFORMATIQUE</t>
  </si>
  <si>
    <t>identifiant mot de passe, accès réservé et droits d'accès selon les fonctions</t>
  </si>
  <si>
    <t>Externe : cloud éditeur</t>
  </si>
  <si>
    <t>Logiciel SAAS</t>
  </si>
  <si>
    <t>usagers 
Familles et proches des usagers
Professionnels
Membre du CA
Elus</t>
  </si>
  <si>
    <t>Gestion du CSE</t>
  </si>
  <si>
    <t>23/08/2024
26/09/2024
27/09/2024
19/12/2024</t>
  </si>
  <si>
    <t>Ajout info sur l'envoi des CR
Ajout info pour la Résidence La Combe
ajout info affichage pour l'ESAT La Simonière et Les espoirs</t>
  </si>
  <si>
    <t>CSE</t>
  </si>
  <si>
    <t>Collecter et utiliser des données permettant de réunir les instances et de communiquer les compte-rendus ou autres documents</t>
  </si>
  <si>
    <t>- Réunion les instances
- Communiquer les informations des instances
- Réaliser des  statistiques 
- fonctionnement s pour répondre à des besoins de gestion administrative ; 
- Gestion des évènements indésirables</t>
  </si>
  <si>
    <t>Collaborateur et leur famille</t>
  </si>
  <si>
    <t>Nom, prénom et âge des enfants</t>
  </si>
  <si>
    <t>mail</t>
  </si>
  <si>
    <t>Listing collaborateurs par les RH
Autres informations : saisie volontaire du salarié</t>
  </si>
  <si>
    <t>Géré par le CSE</t>
  </si>
  <si>
    <t xml:space="preserve">Interne :
Externe :
</t>
  </si>
  <si>
    <t>CR transmis par mail et affiché sur TOUTATEAM
Résidence du parc : géré par le CSE, rien à la résidence
Résidence La Combe : réception des CR par mail par chaque salarié
ESAT la simonière : recu par mail, Affichage des CR dans le couloir
ESAT Les espoirs : CR afficher en salle de pause professionnelle</t>
  </si>
  <si>
    <t>Envoi mail des CR</t>
  </si>
  <si>
    <t>Bureau de la direction
Bureau du personnel Les Fougères
Bureau des salariés Foyer Les Gantelles</t>
  </si>
  <si>
    <t>Armoire fermée à clé contenant les CR CSE dans le bureau de la direction fermé à clé
Panneau des affichages CSE et Répertoire CSE sur l'ordinateur fixe dans le bureau du personnel Les Fougères fermé à clé
Affichage CR CSE dans le bureau des salariés Foyer Les Gantelles fermés à clé</t>
  </si>
  <si>
    <t>Envoyé par mail par La Bretèche</t>
  </si>
  <si>
    <t>Sous-traitants</t>
  </si>
  <si>
    <t>Gestion des sous traitants</t>
  </si>
  <si>
    <t>10/07/2025
24/07/2025</t>
  </si>
  <si>
    <t>Ajout info SI du service Paie
Modification des emplacements physiques - 24/07/25</t>
  </si>
  <si>
    <t>Responsable Informatique
Responsable qualité (QUALINEO)
Controleuse de gestion social (Octime)
RAF (Compta)
responsable Paie
Responsable immobilier Bati</t>
  </si>
  <si>
    <t>Collecter et transmettre des données permettant de travailler avec un sous traitant</t>
  </si>
  <si>
    <t>- Gestion des interventions
- Gestion contractuelle et comptable</t>
  </si>
  <si>
    <t>Nom, prénom, adresse professionnelle, mail, téléphone</t>
  </si>
  <si>
    <t>RiB</t>
  </si>
  <si>
    <t>Par le sous-traitant</t>
  </si>
  <si>
    <t>Bureau de la RAF
Bureau des comptables d'établissement
Bureau des directeurs</t>
  </si>
  <si>
    <t>Armoire fermée à clé et bureau fermé à clé
Bureau des comptables fermé à clé
Contrats dans les Bureau des directeurs fermés à clé</t>
  </si>
  <si>
    <t>Serveur
Octime
ALPHA GRH (Paie, remplacé par Paynext)</t>
  </si>
  <si>
    <t>Accès à revoir pour savoir qui accès
OCTIME avec user/mdp
Paie avce User / mdp</t>
  </si>
  <si>
    <t>Interne
Octime
CEGI</t>
  </si>
  <si>
    <t>Géré par les éditeurs</t>
  </si>
  <si>
    <t>Interne : RAF, comptables
Externe : sous-traitants</t>
  </si>
  <si>
    <t>Facturation et gestion de contrat</t>
  </si>
  <si>
    <t>AGEVAL remplacé par QUALINEO</t>
  </si>
  <si>
    <t>Anciens et nouveaux donateurs et sociétés</t>
  </si>
  <si>
    <t>Dons et taxe professionnelle</t>
  </si>
  <si>
    <t>Modification des emplacements physiques - 24/07/25</t>
  </si>
  <si>
    <t>Collecter et utiliser des données permettant de sollciter les donateurs et les sociétés pour déductions fiscales sur les dons et taxe professionnelle</t>
  </si>
  <si>
    <t>- Relance des anciens donateurs
- Démarchage pour des demandes de dons
- Gestion des dons via le site ou directement
- Incitation des entreprises cotoyés pour déduction de leur taxe professionnelle via l'organisme
- Relance pour la taxe professionnelle
- Suivi des professionnels et donateurs
- Traitement administratif, financier et fiscal des dons
- Déclaration administratives et fiscale des dons
- Gestion des adhérents (donateurs + vote à l'AG)</t>
  </si>
  <si>
    <t>Donateurs et sociétés</t>
  </si>
  <si>
    <t>Nom, Prénom, Adresse, Adresse e-mail, Numéro de téléphone</t>
  </si>
  <si>
    <t>mail, fonction</t>
  </si>
  <si>
    <t>Listing collaborateurs par les RH
Autres informations : saisie volontaire du donateur ou de l'entreprise</t>
  </si>
  <si>
    <t>Bureau de l'assistante de direction et de la responsable administrative et financière
Bureau des comptables</t>
  </si>
  <si>
    <t>Armoire fermée à clé dans le bureau de l'assistante de direction
Taxes professionnelles stockées dans le Bureau des comptables</t>
  </si>
  <si>
    <t>Sur le serveur local</t>
  </si>
  <si>
    <t>Accès par connexion avec login et mot de passe réservé aux personnes autorisées</t>
  </si>
  <si>
    <t>Serveur local</t>
  </si>
  <si>
    <r>
      <rPr>
        <sz val="10"/>
        <color rgb="FF00477F"/>
        <rFont val="Arial"/>
        <family val="2"/>
      </rPr>
      <t>Interne : Assistante de direction et RAF</t>
    </r>
    <r>
      <rPr>
        <sz val="10"/>
        <color indexed="11"/>
        <rFont val="Arial"/>
        <family val="2"/>
      </rPr>
      <t xml:space="preserve">
</t>
    </r>
    <r>
      <rPr>
        <sz val="10"/>
        <color rgb="FF00477F"/>
        <rFont val="Arial"/>
        <family val="2"/>
      </rPr>
      <t>Externe :</t>
    </r>
    <r>
      <rPr>
        <sz val="10"/>
        <color indexed="11"/>
        <rFont val="Arial"/>
        <family val="2"/>
      </rPr>
      <t xml:space="preserve">
</t>
    </r>
  </si>
  <si>
    <t>Relance des familles pour un don lors de l'appel à cotisation</t>
  </si>
  <si>
    <t>DIME L'espoir
DIME Rennes</t>
  </si>
  <si>
    <t>Usagers et Professionnels</t>
  </si>
  <si>
    <t>Modélisation et simulation du financement des ESMS</t>
  </si>
  <si>
    <t>Ajout infos en commentaire</t>
  </si>
  <si>
    <t>Responsable Qualité</t>
  </si>
  <si>
    <t>Modélisation et de
simulation du financement des ESMS</t>
  </si>
  <si>
    <t>Disposer d’un état des lieux national sur l’activité et les coûts des établissements et services sociaux et médico-sociaux mentionnés au I du présent article ;
Simuler et ajuster les différents scénarios du modèle de fnancement de ces établissements et services ;
Mettre à disposition de ces établissements et services des données leur permettant d’évaluer les effets du modèle retenu sur leurs fnancements ;
Produire des études à des fns de pilotage et d’évaluation du fnancement de ces établissements et services ainsi qu’à des fins d’appui aux politiques publiques mises en œuvre par la direction générale de la cohésion sociale et la Caisse nationale de solidarité pour l’autonomie dans le cadre de leurs missions</t>
  </si>
  <si>
    <t>Usagers : le code interne d’identification de la personne accompagnée, son mois et son année de naissance, ainsi que son sexe
Professionnels : Les données d’identifcation et d’activité, code interne de l’intervenant (nom, prénom, fonction, courriel et numéro de téléphone), statut à l’égard de l’établissement (salarié, intérimaire, libéral, famille, prestataire, agent de droit public), fonction exercée, date et période de présence, description du ou des trajets effectués</t>
  </si>
  <si>
    <t>Usagers : informations relatives à la situation de handicap ; Les informations relatives aux modalités d’accueil ; Les données de présence dans l’établissement ; Les données relatives à la scolarisation et à l’accompagnement par un service.</t>
  </si>
  <si>
    <t>Les usagers et les professionnels</t>
  </si>
  <si>
    <t>Coupe SERAPHIN PH</t>
  </si>
  <si>
    <r>
      <rPr>
        <b/>
        <sz val="10"/>
        <color rgb="FF00477F"/>
        <rFont val="Arial"/>
        <family val="2"/>
      </rPr>
      <t xml:space="preserve">Interne </t>
    </r>
    <r>
      <rPr>
        <sz val="10"/>
        <color indexed="11"/>
        <rFont val="Arial"/>
        <family val="2"/>
      </rPr>
      <t xml:space="preserve">: Tous les professionnels
</t>
    </r>
    <r>
      <rPr>
        <b/>
        <sz val="10"/>
        <color rgb="FF00477F"/>
        <rFont val="Arial"/>
        <family val="2"/>
      </rPr>
      <t>Externe :</t>
    </r>
    <r>
      <rPr>
        <sz val="10"/>
        <color indexed="11"/>
        <rFont val="Arial"/>
        <family val="2"/>
      </rPr>
      <t xml:space="preserve">
Les agents de l’Agence technique de l’information sur l’hospitalisation individuellement désignés et dûment habilités par le directeur de l’agence ;
Les agents de la Caisse nationale de solidarité pour l’autonomie individuellement désignés et dûment habilités par le directeur de la caisse.
La direction générale de la cohésion sociale ;</t>
    </r>
  </si>
  <si>
    <t>Nouveau traitement imposé par l'état pour les IME
Extrait des données envoyées à l'ATIH en test. Au 1er janv 2026, l'ensemble des actions seront typés SERAPHIN</t>
  </si>
  <si>
    <t>DIME L'espoir</t>
  </si>
  <si>
    <t>Usagers et leurs familles</t>
  </si>
  <si>
    <t>Transport des élèves</t>
  </si>
  <si>
    <t>Gestion du transport des élèves avec la société concernée</t>
  </si>
  <si>
    <t>Nom, prénom, adresse et téléphone</t>
  </si>
  <si>
    <t>Inscription à l'IME</t>
  </si>
  <si>
    <t>Envoi mail de la liste des enfants à transporter jusqu'à l'IME</t>
  </si>
  <si>
    <t>-</t>
  </si>
  <si>
    <t>RAOUL TSH</t>
  </si>
  <si>
    <t>?</t>
  </si>
  <si>
    <t xml:space="preserve">Interne :
Externe : Société de transport
</t>
  </si>
  <si>
    <t>Organiser le transport des élèves</t>
  </si>
  <si>
    <t>Nouveau traitement, Convention à créer avec la société de transport pour lui indiquer de ne pas utiliser ses données pour autre chose que le transport des enfants</t>
  </si>
  <si>
    <t>Gestion des stagiaires usagers</t>
  </si>
  <si>
    <t>Chargée d'Insertion Professionnelle</t>
  </si>
  <si>
    <t>Bureau de la personne Chargée d'Insertion Professionnelle</t>
  </si>
  <si>
    <t>Dans un classeur dans une armoire du bureau fermé à clé de la personne Chargée d'Insertion Professionnelle</t>
  </si>
  <si>
    <t>Interne :Service social, service de paie
Externe :
MDPH</t>
  </si>
  <si>
    <t>Séparation du traitement pour le DIME Rennes</t>
  </si>
  <si>
    <t>Gestion administrative et paye du personnel spécifique du DIME Rennes, en plus du siège</t>
  </si>
  <si>
    <t>- Gestion du dossier professionnel des salariés; (( CV, pièce administrative tel que casier judiciaire, carte d'identité, diplome, RIB, carte vitale, permis)
- gestion de la paie
- gestion des aptitudes médicales par rapport au poste
- gestion des contacts en cas d'urgence
- gestion des absences (congés, maladie, évènements familaiux, …)
- gestion des accidents de travail (et presque accident) 
- gestion RQTH
- entretien de carrière / individuel
- gestion du droit à l'image</t>
  </si>
  <si>
    <t>Nom, prénom, adresse, dt nais, lieu de naissance, contacts, poste, date d'arrivée, contact en cas d'urgence</t>
  </si>
  <si>
    <t>NIR</t>
  </si>
  <si>
    <t>NIR (N° SS)</t>
  </si>
  <si>
    <t>Bureau de l'adjointe de direction
Infirmerie</t>
  </si>
  <si>
    <t>Fiche horaire et demande de congés dans le bureau de l'adjointe de direction fermé à clé
Classeur des accidents du travail à l'infirmerie fermée à clé</t>
  </si>
  <si>
    <t>Serveur
PST35</t>
  </si>
  <si>
    <t>Base de données contenant tous le dossier du salarié
Fichier de pré-paye avec les heures/arrêt maladie/congés
Correspondance de médecine du travail (PST35)
RIB des salariés pour la comptable
Fiche de suivi sur divers documents sur le serveur</t>
  </si>
  <si>
    <t>Interne
Médecine du travail</t>
  </si>
  <si>
    <t>Indéfini + Editeur</t>
  </si>
  <si>
    <t>Interne :
Service RH
Directeur, chefs de service
Adjointe de direction IME 
Externe :
Paie &amp; Médecine du travail</t>
  </si>
  <si>
    <t>En complément du traitement de Gestion administrative du personnel global de l'association, pour des spécificités du DIME Rennes</t>
  </si>
  <si>
    <t>Serveur de fichier K</t>
  </si>
  <si>
    <t>Entre 1 et 6 jeunes en stage chaque semaine
Actuellement pas dans Mediateam mais possible</t>
  </si>
  <si>
    <t>80</t>
  </si>
  <si>
    <t>Alarme</t>
  </si>
  <si>
    <t>Tracabilité des activations/désactivations de l'alarme</t>
  </si>
  <si>
    <t>- Gestion des droits d'accès à l'alarme
- Journalisation des évènements
- Concervation des preuves</t>
  </si>
  <si>
    <t>Nom, prénom, date/heure activation/désactivation par zone</t>
  </si>
  <si>
    <t>Clavier des arlarmes</t>
  </si>
  <si>
    <t>Risco Group</t>
  </si>
  <si>
    <t>Géré par Risco Group</t>
  </si>
  <si>
    <t>Interne :
Externe :
Risco Group</t>
  </si>
  <si>
    <t>Angleterre (norme GDPR-UK)</t>
  </si>
  <si>
    <t>Contrat souscrit auprès de Adrien Alarme qui sous-traite à Risco Group</t>
  </si>
  <si>
    <t>81</t>
  </si>
  <si>
    <t>Colonne fichier</t>
  </si>
  <si>
    <t>Colonne Registre BDD</t>
  </si>
  <si>
    <t>Type</t>
  </si>
  <si>
    <t>Table</t>
  </si>
  <si>
    <t>Commentaire</t>
  </si>
  <si>
    <t>archivage</t>
  </si>
  <si>
    <t>canaux_collecte_donnees</t>
  </si>
  <si>
    <t>categories_destinataires</t>
  </si>
  <si>
    <t>categories_personnes_concernees</t>
  </si>
  <si>
    <t>categories_particulieres_donnees</t>
  </si>
  <si>
    <t>commentaires</t>
  </si>
  <si>
    <t>data_protection_officer</t>
  </si>
  <si>
    <t>date_mise_a_jour</t>
  </si>
  <si>
    <t>Table miseajour
datemaj : date
Motif : text
client_id</t>
  </si>
  <si>
    <t>Doit-être dans une table étranfgère : Jira à produire : A chaque modification de traitement une modale demandant la justification de la modification doit s'ouvrir.
Si la dernière date de mise à jour est supérieure à la date de dernière version alors proposer le texte déjà saisi.
Faire la mise à jour de la date du Registre de traitement dans la table client</t>
  </si>
  <si>
    <t>date_identification</t>
  </si>
  <si>
    <t>dispositions_securite_donnees_numerique</t>
  </si>
  <si>
    <t>dispositions_securite_donnees_physique</t>
  </si>
  <si>
    <t>donnees_concernees</t>
  </si>
  <si>
    <t>donnees_connexion</t>
  </si>
  <si>
    <t>donnees_localisation</t>
  </si>
  <si>
    <t>donnees_identification</t>
  </si>
  <si>
    <t>donnees_economiques_financieres</t>
  </si>
  <si>
    <t>donnees_professionnelles</t>
  </si>
  <si>
    <t>donnees_comportement_vie_perso</t>
  </si>
  <si>
    <t>duree_archivage</t>
  </si>
  <si>
    <t>Table duree
Conservation_or_archivage : boolean 
duree : charactere varying(255)
Client_ID : ID de la table client</t>
  </si>
  <si>
    <t>Pourrait être déportée dans une table externe</t>
  </si>
  <si>
    <t>duree_conservation</t>
  </si>
  <si>
    <t>emplacement_numerique</t>
  </si>
  <si>
    <t>emplacement_physique</t>
  </si>
  <si>
    <t>Clé etrangère</t>
  </si>
  <si>
    <t>etude_impact</t>
  </si>
  <si>
    <t xml:space="preserve">Table Definition 
qui : enum(etude_impact, finalite_principale,)
libelle : varchar(255)
client_id
MotivationCNIL : text
</t>
  </si>
  <si>
    <t>Doit etre pris dans une table étrangère "onglet FR_Définitions"</t>
  </si>
  <si>
    <t>finalite_principale</t>
  </si>
  <si>
    <t>gestionnaire_mise_en_oeuvre</t>
  </si>
  <si>
    <t>hebergement</t>
  </si>
  <si>
    <t>historique_modifications</t>
  </si>
  <si>
    <t>Prévoir une US pour valoriser l'historique</t>
  </si>
  <si>
    <t>liceite_traitement</t>
  </si>
  <si>
    <t xml:space="preserve">Table Definition 
</t>
  </si>
  <si>
    <t>nom</t>
  </si>
  <si>
    <t>pays_destinataires</t>
  </si>
  <si>
    <t>raisons_transfert_destinataires</t>
  </si>
  <si>
    <t>SO ?</t>
  </si>
  <si>
    <t>recours_traitements_automatises</t>
  </si>
  <si>
    <t>responsable_traitement</t>
  </si>
  <si>
    <t>Table ResponsableTraitement</t>
  </si>
  <si>
    <t>sensibilite</t>
  </si>
  <si>
    <t>Table Definition</t>
  </si>
  <si>
    <t>sous_finalites</t>
  </si>
  <si>
    <t>transferts_hors_ue</t>
  </si>
  <si>
    <t>…...................</t>
  </si>
  <si>
    <t>version_registre</t>
  </si>
  <si>
    <t>varchar(30)</t>
  </si>
  <si>
    <r>
      <t xml:space="preserve">Champ à ajouter dans la table </t>
    </r>
    <r>
      <rPr>
        <b/>
        <sz val="10"/>
        <color rgb="FF00B050"/>
        <rFont val="Arial"/>
        <family val="2"/>
      </rPr>
      <t>CLIENT</t>
    </r>
    <r>
      <rPr>
        <sz val="10"/>
        <color indexed="8"/>
        <rFont val="Arial"/>
      </rPr>
      <t xml:space="preserve"> 
il s'agit de la dernière version générée d'un fichier</t>
    </r>
  </si>
  <si>
    <t>il s'agit de la version du registre de traitement càd l'ensemble des traitements d'un client</t>
  </si>
  <si>
    <t>Date_version</t>
  </si>
  <si>
    <t>Date</t>
  </si>
  <si>
    <r>
      <t xml:space="preserve">Champ à ajouter dans la table </t>
    </r>
    <r>
      <rPr>
        <b/>
        <sz val="10"/>
        <color rgb="FF00B050"/>
        <rFont val="Arial"/>
        <family val="2"/>
      </rPr>
      <t>CLIENT</t>
    </r>
    <r>
      <rPr>
        <sz val="10"/>
        <color indexed="8"/>
        <rFont val="Arial"/>
      </rPr>
      <t xml:space="preserve"> 
Fate de la derniere génération de fichier</t>
    </r>
  </si>
  <si>
    <t>Colonne</t>
  </si>
  <si>
    <t>Colonne Registre</t>
  </si>
  <si>
    <r>
      <t xml:space="preserve">boolean </t>
    </r>
    <r>
      <rPr>
        <i/>
        <sz val="10"/>
        <color rgb="FF000000"/>
        <rFont val="Segoe UI"/>
        <family val="2"/>
      </rPr>
      <t>NULL</t>
    </r>
  </si>
  <si>
    <r>
      <t xml:space="preserve">character varying(255) </t>
    </r>
    <r>
      <rPr>
        <i/>
        <sz val="10"/>
        <color rgb="FF000000"/>
        <rFont val="Segoe UI"/>
        <family val="2"/>
      </rPr>
      <t>NULL</t>
    </r>
  </si>
  <si>
    <r>
      <t xml:space="preserve">text </t>
    </r>
    <r>
      <rPr>
        <i/>
        <sz val="10"/>
        <color rgb="FF000000"/>
        <rFont val="Segoe UI"/>
        <family val="2"/>
      </rPr>
      <t>NULL</t>
    </r>
  </si>
  <si>
    <t>date</t>
  </si>
  <si>
    <r>
      <t xml:space="preserve">date </t>
    </r>
    <r>
      <rPr>
        <i/>
        <sz val="10"/>
        <color rgb="FF000000"/>
        <rFont val="Segoe UI"/>
        <family val="2"/>
      </rPr>
      <t>NULL</t>
    </r>
  </si>
  <si>
    <t>id_client</t>
  </si>
  <si>
    <t>uuid</t>
  </si>
  <si>
    <t>id_fonctionnel</t>
  </si>
  <si>
    <r>
      <t xml:space="preserve">integer </t>
    </r>
    <r>
      <rPr>
        <i/>
        <sz val="10"/>
        <color rgb="FF000000"/>
        <rFont val="Segoe UI"/>
        <family val="2"/>
      </rPr>
      <t>Incrément automatique</t>
    </r>
    <r>
      <rPr>
        <sz val="10"/>
        <color rgb="FF000000"/>
        <rFont val="Segoe UI"/>
        <family val="2"/>
      </rPr>
      <t xml:space="preserve"> [</t>
    </r>
    <r>
      <rPr>
        <b/>
        <sz val="10"/>
        <color rgb="FF000000"/>
        <rFont val="Segoe UI"/>
        <family val="2"/>
      </rPr>
      <t>nextval('traitement_id_fonctionnel_seq')</t>
    </r>
    <r>
      <rPr>
        <sz val="10"/>
        <color rgb="FF000000"/>
        <rFont val="Segoe UI"/>
        <family val="2"/>
      </rPr>
      <t>]</t>
    </r>
  </si>
  <si>
    <t>identifiant</t>
  </si>
  <si>
    <t>character varying(255)</t>
  </si>
  <si>
    <t>version</t>
  </si>
  <si>
    <r>
      <t xml:space="preserve">integer </t>
    </r>
    <r>
      <rPr>
        <i/>
        <sz val="10"/>
        <color rgb="FF000000"/>
        <rFont val="Segoe UI"/>
        <family val="2"/>
      </rPr>
      <t>NULL</t>
    </r>
  </si>
  <si>
    <t>Protection des données personnelles</t>
  </si>
  <si>
    <t>Item</t>
  </si>
  <si>
    <t>DPO</t>
  </si>
  <si>
    <t>Groupe CREATIVE - christophe.viot@groupe-creative.fr</t>
  </si>
  <si>
    <t>Registre de traitement des données personnelles existant</t>
  </si>
  <si>
    <t xml:space="preserve">Politique écrite pour la protection des données personnelles </t>
  </si>
  <si>
    <t>En cours</t>
  </si>
  <si>
    <t>Formation des salariés à la protection des données personnelles</t>
  </si>
  <si>
    <t>Oui via une senisibilisation en réunion d'équipe 1 fois par an</t>
  </si>
  <si>
    <t>Traitements de données à caractère personnelles identifiés</t>
  </si>
  <si>
    <t>Protocoles en cas d'incidents sur les données personnelles</t>
  </si>
  <si>
    <t>Protocole en cas de demande de consultation des données personnels par un usager</t>
  </si>
  <si>
    <t>Présence de données sensibles</t>
  </si>
  <si>
    <t>Données sensibles sécurisés (stockage et transfert)</t>
  </si>
  <si>
    <t>Registre des sous-traitants réalisant un traitement de données à caractère personnel</t>
  </si>
  <si>
    <t>Sous-traitant</t>
  </si>
  <si>
    <t>Coordonnées</t>
  </si>
  <si>
    <t>Contact</t>
  </si>
  <si>
    <t>Rôle du contact</t>
  </si>
  <si>
    <t>Adresse mail</t>
  </si>
  <si>
    <t>Téléphone</t>
  </si>
  <si>
    <t>Prestation fournie</t>
  </si>
  <si>
    <t>Traitement effectué</t>
  </si>
  <si>
    <t>Données traitées</t>
  </si>
  <si>
    <t>Contrat associé</t>
  </si>
  <si>
    <t>Référence et date du contrat</t>
  </si>
  <si>
    <t>AJP</t>
  </si>
  <si>
    <t>Jérôme CHAMPION</t>
  </si>
  <si>
    <t>Directeur informatique</t>
  </si>
  <si>
    <t>jerome.champion@ajp.fr</t>
  </si>
  <si>
    <t>02 99 26 13 26</t>
  </si>
  <si>
    <t>Sous-traitant informatique</t>
  </si>
  <si>
    <t>Gestion du SI / Logs</t>
  </si>
  <si>
    <t>17/05/24 conforme</t>
  </si>
  <si>
    <t>Philippe MOUCHIROUD </t>
  </si>
  <si>
    <t>Directeur de projets </t>
  </si>
  <si>
    <t>philippe.MOUCHIROUD@berger-levrault.com </t>
  </si>
  <si>
    <t>(+33) 7 82 87 48 59 </t>
  </si>
  <si>
    <t>23/04/24 conforme</t>
  </si>
  <si>
    <t>CEGI</t>
  </si>
  <si>
    <t>Vanessa HELLEQUIN</t>
  </si>
  <si>
    <t>Ingénieur commercial</t>
  </si>
  <si>
    <t>v.hellequin@cegialfa.fr</t>
  </si>
  <si>
    <t>06.23.15.84.72</t>
  </si>
  <si>
    <t>ALPHA GRH / CEGI ALPHA / Logiciel GESCO</t>
  </si>
  <si>
    <t>22/04/24 conforme</t>
  </si>
  <si>
    <t>ORANGE BUSINESS  SERVICE</t>
  </si>
  <si>
    <t xml:space="preserve">Xavier Raulo </t>
  </si>
  <si>
    <t>Ingénieur Commercial – Réseaux &amp; Cybersécurité  </t>
  </si>
  <si>
    <t>xavier.raulo@orange.com</t>
  </si>
  <si>
    <t xml:space="preserve">+33 6 07 53 50 64 </t>
  </si>
  <si>
    <t>Relance le 15/05/24</t>
  </si>
  <si>
    <t>ADISTA</t>
  </si>
  <si>
    <t>Salomé MADELAINE</t>
  </si>
  <si>
    <t>Assitante commerciale</t>
  </si>
  <si>
    <t>smadelaine@adista.fr</t>
  </si>
  <si>
    <t>02 14 99 15 06</t>
  </si>
  <si>
    <t>WP ALEX</t>
  </si>
  <si>
    <t>Alexandre TROME</t>
  </si>
  <si>
    <t>Webmaster</t>
  </si>
  <si>
    <t>contact@wpalex.fr</t>
  </si>
  <si>
    <t xml:space="preserve">06 28 33 49 52 </t>
  </si>
  <si>
    <t>WEBGAZELLE</t>
  </si>
  <si>
    <t>Mathis LEBOUCHER</t>
  </si>
  <si>
    <t>Support hotline</t>
  </si>
  <si>
    <t>support@webgazelle.net</t>
  </si>
  <si>
    <t>19/04/24 conforme</t>
  </si>
  <si>
    <t>Résidence Copernic, 18, rue du Quadrant, 14123 Fleury Sur Orne</t>
  </si>
  <si>
    <t>info.fr.ps.mi@hexagon.com</t>
  </si>
  <si>
    <t>02 31 53 20 11</t>
  </si>
  <si>
    <t>Logiciel de gestion des devis jusqu'à la facturation pour l'ESAT Les espoirs</t>
  </si>
  <si>
    <t>La Graine informatique</t>
  </si>
  <si>
    <t>L’Olivier de Serres, 1 Avenue du Bois l’Abbé, 49070, Beaucouzé</t>
  </si>
  <si>
    <t>contact@idsystemes.com</t>
  </si>
  <si>
    <t>02 41 22 11 00</t>
  </si>
  <si>
    <t>Logiciels de gestion horticole</t>
  </si>
  <si>
    <t>Médicoop</t>
  </si>
  <si>
    <t>contact@skorann.fr</t>
  </si>
  <si>
    <t>02 22 66 54 35</t>
  </si>
  <si>
    <t>Société d'intérimaires soin</t>
  </si>
  <si>
    <t>Job&amp;Box</t>
  </si>
  <si>
    <t>1 Boulevard du Petit Paris, 22100 TADEN</t>
  </si>
  <si>
    <t>Fanny MENGUY</t>
  </si>
  <si>
    <t>RESPONSABLE DE PROJET</t>
  </si>
  <si>
    <t>rgpd@job-box.fr</t>
  </si>
  <si>
    <t>02 30 31 32 45</t>
  </si>
  <si>
    <t>Société d'intérimaires en cuisine</t>
  </si>
  <si>
    <t>12/04/24 conforme</t>
  </si>
  <si>
    <t>Full intérim</t>
  </si>
  <si>
    <t>Société d'intérimaires autres types de personnel</t>
  </si>
  <si>
    <t>Pas de contact</t>
  </si>
  <si>
    <t>AGRI Intérim</t>
  </si>
  <si>
    <t>contact35@agri-interim.fr</t>
  </si>
  <si>
    <t>02 99 68 52 95</t>
  </si>
  <si>
    <t>Société d'intérimaires ESAT</t>
  </si>
  <si>
    <t>Job intérim</t>
  </si>
  <si>
    <t>contact@bt-blue.com</t>
  </si>
  <si>
    <t>02 30 30 00 00</t>
  </si>
  <si>
    <t>Hébergeur des données</t>
  </si>
  <si>
    <t>Adresse mail contact@bt-blue.com incorrecte</t>
  </si>
  <si>
    <t>Octime</t>
  </si>
  <si>
    <t>Lucie REYNES</t>
  </si>
  <si>
    <t>Directrice de Projet</t>
  </si>
  <si>
    <t>l.reynes@octime.com</t>
  </si>
  <si>
    <t>05 59 38 26 66</t>
  </si>
  <si>
    <t>Logiciel de gestion des plannings</t>
  </si>
  <si>
    <t>TRAPEC</t>
  </si>
  <si>
    <t>10 chemin Fournier Lefort 42000 SAINT-ETIENNE</t>
  </si>
  <si>
    <t>Valérie CHALANCON</t>
  </si>
  <si>
    <t>info@trapec.com; vchalancon@trapec.com</t>
  </si>
  <si>
    <t>04 77.31 11 90 / 06 23 11 07 39</t>
  </si>
  <si>
    <t>Gestion des stagiaires</t>
  </si>
  <si>
    <t>Gestion des stagiaires ESAT</t>
  </si>
  <si>
    <t>30/04/24 pas soumis au RGPD car ne stocke pas de donnée, tout est hébergé sur le serveur client</t>
  </si>
  <si>
    <t>QUALINEO</t>
  </si>
  <si>
    <t>225 r Templiers, 59000 Lille</t>
  </si>
  <si>
    <t>Editeur de Qualinéo</t>
  </si>
  <si>
    <t>contact@qualineo.com</t>
  </si>
  <si>
    <t>Editeur du logiciel de gestion des évènement indésirable</t>
  </si>
  <si>
    <t>Evènements indésirables</t>
  </si>
  <si>
    <t>Vu sur le site le 24/06/2025</t>
  </si>
  <si>
    <t>contact@raoul-tsh.fr</t>
  </si>
  <si>
    <t>02 99 48 23 47</t>
  </si>
  <si>
    <t>Risco Cloud</t>
  </si>
  <si>
    <t>Adrien Alarme - 7 rue Pierre de Coubertin 22520 BINIC-ETABLES-SUR-MER</t>
  </si>
  <si>
    <t>direction@adrienalarme.com</t>
  </si>
  <si>
    <t>https://rcclwestorage02.blob.core.windows.net/249738a3-22e4-11e5-a22b-000d3a2060c7/legal/7a8aa8d65c044a17ad76ec437cd71bb5.pdf?sv=2025-05-05&amp;se=9999-12-31T23%3A59%3A59Z&amp;sr=b&amp;sp=r&amp;sig=LQYi13Qp7SMHGPi%2FgMrdeO6pug20Jg4WuoeJXoQbShE%3D</t>
  </si>
  <si>
    <t>file:///V:/LA%20BRETECHE%20RGPD/10_DPO%20externalis%C3%A9%202025/Courrier%20abon%20RISCO%20cloud.pdf</t>
  </si>
  <si>
    <t>Vu le 19/08 sur leur site Web</t>
  </si>
  <si>
    <t>Registre des violations de données à caractère personnel</t>
  </si>
  <si>
    <t>Nature de la violation de DCP</t>
  </si>
  <si>
    <t>DCP concernées</t>
  </si>
  <si>
    <t>Nombre approximatif de données concernées</t>
  </si>
  <si>
    <t>Catégrories de personnes concernées</t>
  </si>
  <si>
    <t>Nombre de personnes concernées</t>
  </si>
  <si>
    <t>Conséquences</t>
  </si>
  <si>
    <t>Mesures prises / prévues</t>
  </si>
  <si>
    <t>Information CNIL (qui, date, …)</t>
  </si>
  <si>
    <t>Risque élevé pour les droits et libertés de la/les personne(s) concernée(s) ?</t>
  </si>
  <si>
    <t>Si oui, communication aux personnes effectuée ? + date</t>
  </si>
  <si>
    <t>Registre d'exercice des droits des personnes concernées</t>
  </si>
  <si>
    <t>Description de la demande</t>
  </si>
  <si>
    <t>Gestion de la demande</t>
  </si>
  <si>
    <t>Type de demande</t>
  </si>
  <si>
    <t>Description synthétique de la demande</t>
  </si>
  <si>
    <t>Origine de la demande</t>
  </si>
  <si>
    <t>Date de réception de la demande</t>
  </si>
  <si>
    <t>Services et traitement concernés par la demande</t>
  </si>
  <si>
    <t>Détail de traitement de la demande</t>
  </si>
  <si>
    <t>Services impliqués dans le traitement de la demande</t>
  </si>
  <si>
    <t>Réponse à la demande</t>
  </si>
  <si>
    <t>Alerte du RT</t>
  </si>
  <si>
    <t>Statut de la demande</t>
  </si>
  <si>
    <t>Accès (Consultation)</t>
  </si>
  <si>
    <t>Consulter son dossier personnel papier</t>
  </si>
  <si>
    <t>26/09 ?</t>
  </si>
  <si>
    <t>Traité ?</t>
  </si>
  <si>
    <t>Préconisation</t>
  </si>
  <si>
    <t>Explication</t>
  </si>
  <si>
    <t>Risque encouru</t>
  </si>
  <si>
    <t>Contraintes</t>
  </si>
  <si>
    <t>Cout</t>
  </si>
  <si>
    <t>Priorité</t>
  </si>
  <si>
    <t>Complexité</t>
  </si>
  <si>
    <t>Créer une adresse mail DPO</t>
  </si>
  <si>
    <t>Afin que les utilisateurs (salariés, résidents, tuteurs, personnes habilités) puissent contacter facilement le DPO ou s’il n’est pas encore identifié, la personne de votre établissement en charge de la règlementation RGPD, il est fortement préconisé de prévoir une adresse mail générique et spécifique de contact du type dpo@abcd.fr. Avec « abcd » correspondant au nom de votre établissement.
Cette adresse mail sera communiquée sur tous les supports le nécessitant comme étant le point de contact pour toute demande d’exercice des droits Informatique et Libertés.</t>
  </si>
  <si>
    <t>Ne pas permettre facilement à une personne d’exercer ses droits Informatique et Libertés.</t>
  </si>
  <si>
    <t>Créer une adresse mail générique « Dpo@ » suivi du nom de votre établissement puis de « .fr », puis rediriger cette adresse sur une ou plusieurs personnes dont le DPO.</t>
  </si>
  <si>
    <t>Aucun</t>
  </si>
  <si>
    <t>1 : Très urgent</t>
  </si>
  <si>
    <t>1 : Très simple</t>
  </si>
  <si>
    <t>Gestion du Registre visiteur</t>
  </si>
  <si>
    <t>Cette recommandation concerne tous les registres de toutes les entrées des établissements (visiteurs &amp; salariés). Elle contient plusieurs propositions :
•	Proposition 1 : Intégrer une mention RGPD sur chaque page en bas du registre, par exemple : 
Afin de contrôler l’accès à ses locaux, l’établissement XXX demande à ses visiteurs de s’identifier sur ce registre.
Les données enregistrées dans ce dispositif d’accès aux locaux sont conservées pendant trois mois et sont accessibles au personnel en charge de la sécurité.
Pour exercer vos droits Informatique et Libertés et pour toute information sur ce dispositif, contactez notre délégué à la protection des données (DPO) en écrivant à dpo@abcd.fr 
•	Proposition 2 : Si vous gardez le classeur, enlever chaque feuille remplie (pour éviter aux prochains visiteurs d’avoir accès à ces informations) et supprimer les entrées antérieures à 3 mois
•	Proposition 3 : avoir une fiche par visiteur remise à l’accueil et détruite au bout de 14 jours
o	Voici un exemple de fiche visiteur (en modifiant l’adresse mail du DPO) :
Notre établissement est soumis au respect d’un protocole sanitaire spécifique, qui prévoit le recueil d’informations vous concernant, dans le cadre de la lutte contre l’épidémie de COVID-19. 
Date et heure d’arrivée : ……………………….………………..………………..
Nom : ……………………………………………………………………………..
Prénom : …………………………………………………………………………..
Numéro de téléphone : ……………………………………………………………
Personne visitée : …………………………………………………………………..
***
Les données enregistrées dans ce dispositif d’accès aux locaux sont conservées pendant 14 jours et sont accessibles au personnel en charge de la sécurité sanitaire.
Pour exercer vos droits Informatique et Libertés et pour toute information sur ce dispositif, contactez notre délégué à la protection des données (DPO) en écrivant à dpo@abcd.fr .</t>
  </si>
  <si>
    <t>Être en infraction avec la CNIL.</t>
  </si>
  <si>
    <t>La proposition 2 demande à gérer tous les 3 mois la destruction des entrées.
La proposition 3 demande à l’accueil de récupérer les fiches et de les détruire au bout de 15 jours.</t>
  </si>
  <si>
    <t>Consentement – Droit à l’image</t>
  </si>
  <si>
    <t>Refaire une revue complète des consentements résidents et salariés pour intégrer tous les cas de figure :
•	Droit à l’image interne &amp; externe
•	Utilisation &amp; transmission des données
•	Gestion des refus de consentement
•	Consentement sur l’accompagnement personnalisé hors administration de soin (exemple : préférence de toilette, de prise de repas, conviction religieuse)
Cette information doit pouvoir être fournie, à tout moment, sur demande des salariés adressée à dpo@abcd.fr .</t>
  </si>
  <si>
    <t>Nécessité de gérer les refus de consentement en modifiant tous les protocoles d'exposition des Nom, Prénom, Photo des salariés et résidents en interne et/ou en externe.</t>
  </si>
  <si>
    <t>Temps de gestion pour intégrer cette notion dans les nouveaux contrats salariés et dossier de préinscription et d'admission résidents. Ainsi que l'envoi d'un mail à tous les salariés existants et l'ajout au règlement intérieur (https://www.cnil.fr/fr/RGPD-exemple-information-acces-aux-locaux-professionnels-par-badge).</t>
  </si>
  <si>
    <t>1 : Très urgent</t>
  </si>
  <si>
    <t>1 : Très simple</t>
  </si>
  <si>
    <t>CV des candidats non retenus</t>
  </si>
  <si>
    <t>Concernant la gestion des données de candidats non retenus, vous devez effectuer deux actions liées à la mise en conformité RGPD :
•	Indiquer au candidat que vous allez garder son CV (si c’est le cas) sauf s’il ne le souhaite pas
•	Sans consentement destruction immédiate des données, avec consentement destruction au bout de 2 ans.
Voici un exemple de fiche de consentement candidat 
Notre établissement est soucieux de la protection de vos données personnelles.
Dans le cadre de notre fonctionnement, nous conservons votre CV pour de futurs besoins sauf si vous vous y opposez.
Vos données seront conservées 2 ans après nos derniers échanges.
Pour exercer vos droits Informatique et Libertés et pour toute information sur ce dispositif, contactez notre délégué à la protection des données (DPO) en écrivant à dpo@abcd.fr</t>
  </si>
  <si>
    <t>Temps d’analyse et de destruction</t>
  </si>
  <si>
    <t>Fermer les bureaux</t>
  </si>
  <si>
    <t>Penser à fermer les bureaux dès que la personne s’absente, pour tous les bureaux contenant de la donnée personnelle. A minima le midi et le soir.</t>
  </si>
  <si>
    <t>Une personne ayant accès à la partie administrative peut accéder à des données personnelles non autorisées.</t>
  </si>
  <si>
    <t>Sensibilisation à faire auprès des salariés</t>
  </si>
  <si>
    <t>Temps humain de sensibilisation &amp; vérification</t>
  </si>
  <si>
    <t>Listes de participants aux activités</t>
  </si>
  <si>
    <t>A l’animation, ne pas conserver de listes de personnes ayant participés à des animations de plus de 2 ans (année civile en cours et année précédente), version papier et numérique.</t>
  </si>
  <si>
    <t>Temps de nettoyage</t>
  </si>
  <si>
    <t>Mettre le bac contenant les analyses médicales derrière le comptoir de l'accueil.</t>
  </si>
  <si>
    <t>Actuellement les dossiers en attente d’analyses médicales sont posés dans une bannette à l’entrée pour les laboratoires. Une personne malintentionnée pourrait les voler avec comme implication, la perte des analyses et le vol de données sensibles dont des informations médicales.
Afin de parer cette éventuelle violation de donnée, nous vous conseillons de mettre cette bannette derrière le comptoir de l’accueil. Ce qui évitera à une personne passant par l’accueil d’être tenté de lire/voler les données. Mais cela obligera le livreur du laboratoire de faire quelques mètres de plus dans l’Ehpad pour accéder aux dossiers d’analyses médicales à réaliser.</t>
  </si>
  <si>
    <t>Vol de données de santé.</t>
  </si>
  <si>
    <t>Quelques mètres en plus à réaliser pour le livreur</t>
  </si>
  <si>
    <t>Mettre le bloc des cartes vitales derrière le comptoir de l'accueil</t>
  </si>
  <si>
    <t xml:space="preserve">Actuellement le bloc des cartes vitales des résidents est posé à l’accueil pour les médecins traitants. Une personne malintentionnée pourrait les voler avec comme implication, la perte de la carte et le vol de données sensibles dont des informations médicales.
Afin de parer cette éventualité, nous vous conseillons de mettre le bloc des cartes derrière le comptoir de l’accueil. Ce qui évitera à une personne passant par l’accueil d’être tenté de lire/voler les données. </t>
  </si>
  <si>
    <t>Temps d’adaptation à cette nouvelle habitude</t>
  </si>
  <si>
    <t>Recueil du consentement</t>
  </si>
  <si>
    <t>Il faut prendre en compte la publication du décret n° 2025-1395 du 29 décembre 2025 relatif au contrat de séjour ou document individuel de prise en charge prévu à l'article L. 311-4 du code de l'action sociale et des familles (Source https://www.legifrance.gouv.fr/jorf/id/JORFTEXT000053202446?datePubli=30%2F12%2F2025&amp;emetteur=Minist%C3%A8re+de+la+sant%C3%A9%2C+des+familles%2C+de+l%27autonomie+et+des+personnes+handicap%C3%A9es)
Ce décret demande en effet une évolution du contrat de séjour (ou contrat de prise en charge / contrat d'admission) afin d'y ajouter en annexe une demande de consentement écrite de l'usager ou de son représentant légal, sur 2 points : 
•	L'accès à l'espace privatif de l'usager pour des raisons de sécurité ou de conformité, conformément à la loi bien vieillir du 8 avril 2024 (exemple : chambre de l'usager)
•	La collecte, la conservation et le traitement des données personnelles, en conformité avec le RGPD (règlement UE 2016/679)
L’annexe 13 présente un modèle de recueil du consentement à mettre en annexe du contrat de séjour ou document individuel de prise en charge.</t>
  </si>
  <si>
    <t>Temps de modification du contrat de séjour ou document individuel de prise en charge</t>
  </si>
  <si>
    <t>Ajouter la mention RGPD</t>
  </si>
  <si>
    <t>Maintenant que vous êtes en cours de conformité RGPD, voici l’information a ajouter dans vos dossiers de pré-inscription, d’accueil, d’admission, de contrat salarié, sur le registre visiteur et votre le site internet (si vous en possédez un) (https://www.cnil.fr/fr/rgpd-exemples-de-mentions-dinformation).
Notre établissement prévoit le recueil d’informations vous concernant, dans le cadre de son activité et en tant qu’employeur. 
La base légale du traitement est l’intérêt légitime (cf. article 6.1.f) du Règlement européen sur la protection des données).
Vous pouvez accéder aux données vous concernant. Vous disposez également d'un droit d’opposition, d’un droit de rectification et d’un droit à la limitation du traitement de vos données (cf. cnil.fr pour plus d’informations sur vos droits).
Pour exercer ces droits ou pour toute question sur le traitement de vos données dans ce dispositif, vous pouvez contacter notre délégué à la protection des données (DPO) dpo@abcd.fr.
Si vous estimez, après nous avoir contactés, que vos droits Informatique et Libertés ne sont pas respectés ou que le dispositif de contrôle d’accès n’est pas conforme aux règles de protection des données, vous pouvez adresser une réclamation en ligne à la CNIL ou par voie postale.</t>
  </si>
  <si>
    <t>Mise à jour des documents de l’établissement</t>
  </si>
  <si>
    <t>Temps de gestion pour intégrer cette notion dans les documents.</t>
  </si>
  <si>
    <t>2 – Simple</t>
  </si>
  <si>
    <t>Communiquer votre conformité RGPD</t>
  </si>
  <si>
    <t>Voici en annexe une proposition de plaquette de communication à l’attention de tout votre personnel expliquant les règles autour de la protection des données : Annexe RGPD 01 - RGPD_Communication_v1.0.pdf
Une fois validé, il faudra envoyer le document à tout le personnel et en parler en réunion de personnel.</t>
  </si>
  <si>
    <t>Validation du document</t>
  </si>
  <si>
    <t>2 : Simple</t>
  </si>
  <si>
    <t>Protocole d’exercice de droit RGPD</t>
  </si>
  <si>
    <t>Définir le protocole en cas de demande d’accès, rectification, portabilité et suppression des données, à minima une réponse informant la personne de la prise en charge de sa demande, de son suivi et du résultat. A vous de définir qui aura la charge de ce protocole. Selon la CNIL, vous avez un mois pour répondre et réaliser la demande.
Compléter le registre des demandes (onglet du registre RGPD excel) pour chaque demande d’exercice de droits.
Voici la liste possible des droits que peuvent exercer toutes les personnes concernées :
Droit d'accès
Droit de rectification
Droit à l'effacement
Droit à la limitation
Droit à la portabilité
Droit d'opposition au traitement
En annexe vous retrouverez la description par la CNIL du protocole de réponse à une demande sur les données personnelles : Annexe RGPD 02 - Repondre a une demande d acces CNIL.jfif</t>
  </si>
  <si>
    <t>Mise à jour du registre de droits</t>
  </si>
  <si>
    <t>Temps humain de création et communication du protocole</t>
  </si>
  <si>
    <t>Protocole de notification des violations de données</t>
  </si>
  <si>
    <t>Dans le cadre d’une violation de données identifiées, vous devez avertir les personnes concernées et en informer la CNIL sous les 72h, ainsi que renseigner l'onglet dédié dans le fichier Excel.
Voici une aide officielle sur le protocole à dérouler en cas de violation de donnée : https://www.privacy-regulation.eu/fr/33.htm ou https://www.cnil.fr/fr/les-violations-de-donnees-personnelles ou : Annexe RGPD 03 - Protocole de violation de données.docx</t>
  </si>
  <si>
    <t>Mise à jour du recueil des violations et envois de mails à la CNIL et aux personnes concernées</t>
  </si>
  <si>
    <t>Temps humain de recherche des personnes concernées et d’envoi de l’information</t>
  </si>
  <si>
    <t>Lettre de mission DPO</t>
  </si>
  <si>
    <t>Écrire une lettre de mission pour le DPO, complémentaire à son éventuelle fiche de poste actuel. Cette lettre de mission vient officialiser la nomination de la personne comme DPO.
La CNIL vient de publier un guide du DPO : https://www.cnil.fr/fr/la-cnil-publie-un-guide-du-delegue-la-protection-des-donnees.
Voici un modèle de lettre de mission pour le rôle de DPO, mission supplémentaire au poste occupé par le salarié (ex : adjointe de direction, qualiticienne) Annexe RGPD 04 - lettre-de-mission-dpo.docx.</t>
  </si>
  <si>
    <t>Administrative</t>
  </si>
  <si>
    <t>Temps humain de création de la fiche de poste</t>
  </si>
  <si>
    <t>Création d’une charte d’utilisation de l’IA</t>
  </si>
  <si>
    <t xml:space="preserve">L’objectif est de rendre les salariés sensibles aux risques encourues liés à l’utilisation de l’IA et les responsabilités associées afin de limiter aux maximums les pertes/vols de données.
Cette charte a une valeur juridique vis-à-vis de vos salariés. Elle peut être annexée au règlement intérieur.
Nous vous recommandons de prévoir une sensibilisation annuelle au minimum et auprès de chaque nouveau salarié lors de son accueil pour que les salariés se rappellent l’ensemble des recommandations.
En annexe vous trouverez une proposition de charte de l’utilisation de l’IA à adapter : Annexe RGPD 10 - Exemple_Charte-utilisation IA_ed1.0.docx </t>
  </si>
  <si>
    <t>Que les salariés ne soient pas informés de l’ensemble des règles liées à l’utilisation d’une intelligence artificielle notamment vis-à-vis de la règlementation IA Act.</t>
  </si>
  <si>
    <t>Temps estimé : Création/Adaptation d’une charte (sur la base d’un template existant) : 1 jour. Auquel il faudra rajouter le temps de validation éventuelle par le CSE ainsi que le temps de communication aux salariés</t>
  </si>
  <si>
    <t>1 - Très urgent</t>
  </si>
  <si>
    <t>2 - Simple</t>
  </si>
  <si>
    <t>Stockage des dossiers résidents</t>
  </si>
  <si>
    <t xml:space="preserve">Mettre les dossiers résidents de pré-inscription et admission dans des armoires sous clés. </t>
  </si>
  <si>
    <t>Faciliter le vol ou la détérioration de ces dossiers contenant des données personnelles par des personnes malintentionnées.
Être en infraction avec la CNIL.</t>
  </si>
  <si>
    <t>Modifier l’armoire actuelle et mettre en place une gestion de la clé sur cette armoire</t>
  </si>
  <si>
    <t>Ajout de serrure à une armoire : Moins de 20 euros la serrure</t>
  </si>
  <si>
    <t>3 : Moyennement Complexe</t>
  </si>
  <si>
    <t>Mutualiser le rôle de DPO</t>
  </si>
  <si>
    <t>Nous vous recommandons de mutualiser le rôle de DPO avec d’autres organismes. En mutualisant ce service, vous aurez à disposition une personne dont la disponibilité minimum par établissement est à définir. Celle-ci vous permettrait de vous aider dans vos problématiques RGPD. Plusieurs solutions sont possibles, embaucher une personne référente RGPD ou demander à une société de sous-traitance de vous mettre à disposition une personne à plein temps. Cette démarche et ce choix est à faire soit individuellement, à plusieurs.</t>
  </si>
  <si>
    <t>Choisir une personne salariée de l’organisme qui n’ait pas l’appétence pour cette règlementation et la gestion des données</t>
  </si>
  <si>
    <t>Si ce rôle est externalisé à votre organisme, il vous sera néanmoins nécessaire de définir un pilote pour la gestion des données personnelles qui fera le lien avec le DPO afin de par sa connaissance du fonctionnement de l’organisme et sa proximité.</t>
  </si>
  <si>
    <t>Investissement budgétaire à planifier</t>
  </si>
  <si>
    <t>Revoir les accès du bâtiment</t>
  </si>
  <si>
    <t>La première cause de faille informatique vient de l’utilisation de l’outil faite par les personnes. De même pour le vol de donnée papier. Il est donc nécessaire de minimiser les risques d’intrusion malintentionnée en sécurisant au mieux les accès aux bâtiments où se trouvent les informations personnelles papiers et informatique.
Soit les bâtiments et bureaux ne sont accessibles que par clé (salariés) soit ils sont accessibles sur les heures d’ouverture sous la surveillance d’une assistante d’accueil ou d’une autre personne.
Si ce n’est pas le cas, il est nécessaire de prévoir des travaux afin de sécuriser leurs accessibilités.</t>
  </si>
  <si>
    <t>Permet à n’importe quel visiteur d’accéder au bâtiment sans y être autorisé et de voler des données personnelles</t>
  </si>
  <si>
    <t>Revoir les plans du bâtiment.</t>
  </si>
  <si>
    <t>Coût induit par les travaux, en général le changement des menuiseries pour y ajouter une clé, un digicode ou un badge.</t>
  </si>
  <si>
    <t>Minimiser le registre visiteur</t>
  </si>
  <si>
    <t>Il ne faut plus noter la température sur le registre visiteur. Cette information personnelle n’est pas utile, voire peut-être gênante pour un visiteur. Cela ne vous empêche pas de prendre leur température pour autoriser ou non l’accès.</t>
  </si>
  <si>
    <t>Temps de modification du registre</t>
  </si>
  <si>
    <t>2 - Urgent</t>
  </si>
  <si>
    <t>Invitation Familéo</t>
  </si>
  <si>
    <t>Il vous arrive actuellement d’utiliser l’adresse mail laissé par un membre de la famille d’un résident sur le registre visiteur pour lui envoyer une invitation à Familéo.
Il est obligatoire que vous demandiez sur le registre visiteur que l’adresse mail saisie pourra être utilisé afin d’envoyer une invitation à Familéo afin que la personne puisse partager des photos avec le résident qu’elle visite.</t>
  </si>
  <si>
    <t>Être en infraction avec le RGPD</t>
  </si>
  <si>
    <t>Mettre à jour les documents concernées</t>
  </si>
  <si>
    <t>Temps de gestion.</t>
  </si>
  <si>
    <t>2 : Urgent</t>
  </si>
  <si>
    <t>Faire respecter la confidentialité entre service notamment au travers d’aménagement</t>
  </si>
  <si>
    <t>Nous vous recommandons mettre en place des mesures notamment d’aménagement (porte fermé) mais également de comportement (sensibilisation des équipes). Cela notamment pour l’infirmerie au sein de laquelle nous avons pu constater des documents médicaux visibles du couloir et des informations dites à haute voix pouvant être entendu depuis le couloir également. Ceci afin de garantir la confidentialité des informations médicales des résidents.</t>
  </si>
  <si>
    <t>Partage d’informations médicales sensibles à des personnes non autorisées.</t>
  </si>
  <si>
    <t>Mettre en place les aménagements permettant la confidentialité
Modifier le fonctionnement pour certains salariés concernés.</t>
  </si>
  <si>
    <t>Coût de la prestation.
Temps de sensibilisation et de gestion.</t>
  </si>
  <si>
    <t>Séparer les dossiers résidents des dossiers salariés</t>
  </si>
  <si>
    <t xml:space="preserve">Nous vous recommandons de séparer les dossiers des résidents de ceux des salariés en ne les stockant pas dans une même armoire mais dans deux armoires séparées et fermées avec des clés spécifiques. Ceci afin de garantir la confidentialité des données des résidents mais également des salariés. </t>
  </si>
  <si>
    <t>Faciliter le vol de données personnelles ou sensibles par des personnes malintentionnées.</t>
  </si>
  <si>
    <t>Acquisition de matériel
Modifier le fonctionnement pour certains salariés concernés.</t>
  </si>
  <si>
    <t>Temps de sensibilisation et de gestion.</t>
  </si>
  <si>
    <t>Mettre le coffre-fort dans la salle d'archives à côté du bureau de la direction</t>
  </si>
  <si>
    <t>Nous vous recommandons de déplacer le coffre-fort actuellement dans le bureau de la direction vers la salle d’archive. Ceci afin de garantir la sécurité du bureau de direction et de ne pas être dans l’obligation de le laisser ouvert pour des raisons d’accessibilité au coffre-fort. Nous vous invitons aussi à le fixer au sol/mur afin de le sécuriser un maximum.</t>
  </si>
  <si>
    <t>Accès au bureau de la direction et accès à des informations confidentielles.</t>
  </si>
  <si>
    <t>Travail avec un prestataire pour déplacer et fixer le coffre-fort.
Modifier le fonctionnement pour certains salariés concernés.</t>
  </si>
  <si>
    <t>3 : Moyennement Complexe</t>
  </si>
  <si>
    <t>Gestion des sous-traitants</t>
  </si>
  <si>
    <t>Avec le RGPD, il vous est nécessaire de vous assurer que vos sous-traitants ayant accès à de la donnée personnelle soit en conformité avec cette règlementation.
Pour cela il vous faut 
•	Identifier une personne (ou plusieurs) dans votre établissement en charge des contrats de sous-traitance et de leur gestion.
•	S’assurer que les contrats de sous-traitance contiennent des clauses suffisantes concernant la confidentialité et le respect des règles RGPD. Dans le cas contraire, faire signer un engagement RGPD au sous-traitant (liste présente dans le registre des sous-traitants DCP).
•	Vérifier le lieu d’hébergement des données de chaque sous-traitant ayant accès à la donnée personnelle en le leur demandant ou en le vérifiant dans votre contrat de sous-traitance. Ceci afin de compléter le registre de traitement et à l’avenir de s’assurer que l’ensemble de vos données sont stockées en France (ou en europe) et sécurisé.
•	Vous trouverez un exemple d’article associé page 14 à 19 du guide du sous-traitant de la CNIL en annexe : Annexe RGPD 05 - rgpd-guide_sous-traitant-cnil.pdf
•	Ainsi qu’un exemple de mail que vous pouvez leur envoyer pour s’assurer de leur conformité : Annexe RGPD 06 - Mail type vérification RGPD sous-traitant.msg</t>
  </si>
  <si>
    <t>Que lors d’un contrôle CNIL du sous-traitant, ou par suite d’un incident de donnée chez ce sous-traitant, vous soyez mis en cause pour non-respect de la règlementation.</t>
  </si>
  <si>
    <t>Temps de relecture des contrats</t>
  </si>
  <si>
    <t>Préconisation pour le DPO</t>
  </si>
  <si>
    <t>Travailler avec les différents responsable métier pour voir avec eux les fichiers pouvant comportant des données personnelles qu’ils soient sur le réseau ou sur le PC. Ainsi s’assurer du respect des règles RGPD : minimisation, conservation, transmission, destruction des données…
Cette analyse est à revoir annuellement en se basant sur le registre de traitement et sur les modifications de protocoles et de personnes. Ainsi que sur l’analyse du recueil de violation et le registre des demandes de modification DCP (onglets dans le fichier de registre de traitement).</t>
  </si>
  <si>
    <t>Possible sanction de la CNIL pour traitement non identifié ou non-respect des règles RGPD en cas de contrôle. En cas de piratage/perte de donnée, impossibilité de remonter l’information à la CNIL et aux personnes concernées.</t>
  </si>
  <si>
    <t>Cf Cout</t>
  </si>
  <si>
    <t>Ateliers de travail entre le DPO et les référents métiers</t>
  </si>
  <si>
    <t>4 - Complexe</t>
  </si>
  <si>
    <t>Boite aux lettres pour résidents</t>
  </si>
  <si>
    <t>Mettre les boites aux lettres des résidents autonomes sous clé individuel.</t>
  </si>
  <si>
    <t>Faciliter le vol ou la détérioration de courriers contenant des données personnelles ou sensibles par des personnes malintentionnées.
Être en infraction avec la CNIL.</t>
  </si>
  <si>
    <t>Que chaque résident autonome ait une clé unique. Il faudra ajouter cette clé au protocole d’admission.</t>
  </si>
  <si>
    <t>Meuble de 24 cases : environ 600 euros</t>
  </si>
  <si>
    <t>Sécuriser les appareils informatiques</t>
  </si>
  <si>
    <t>Nous vous recommandons de coller une puce sur les appareils de types tablettes, smartphones ou appareils de petite taille, cette puce émet un signal Bluetooth et permet de localiser les appareils se trouvant à proximité, cette puce envoie les informations de localisation. Une puce de ce type permettra de visualiser qui est en possession de l’appareil.</t>
  </si>
  <si>
    <t>Vol des appareils par des personnes malintentionnées.
Coût pour la résidence.</t>
  </si>
  <si>
    <t>Coût approximatif de 150 euros pour deux puces</t>
  </si>
  <si>
    <t>3 : Moyennement urgent</t>
  </si>
  <si>
    <t>1 - Très simple</t>
  </si>
  <si>
    <t>Gestion des archives</t>
  </si>
  <si>
    <t xml:space="preserve">Définir les règles de conservation, d’archivage et de destruction des documents suivant leur typologie et les appliquer. Organiser des campagnes annuelles d’archivage et de destruction.
Vous trouverez en annexe les règles de durée de conservation et d’archivage préconisées par la CNIL : Annexe RGPD 07 - Durées de conservation_v1.0.xlsx.
Il est nécessaire aussi de mettre en place un protocole annuel à minima d’archivage et de nettoyage des archives.
Attention : pour les établissements publics, voici un complément d’information de la Chargée de mission Archives territoriales - Archives départementales d’Ille-et-Vilaine, pour les établissements publics :
-	La liste des dossiers à détruire doit être établie sur un procès-verbal d’élimination (modèle joint en annexe : Annexe RGPD 08 - PV Elimination Ehpad.docx) qui comprendra les noms et prénoms des résidents, les dates extrêmes des dossiers, le métrage linéaire total (sur la base de tablettes d’un rayonnage). 
-	Si besoin était, une distinction entre les résidents sortis et les résidents décédés devra être faite. 
-	Vous aurez à préciser le nom et la fonction du rédacteur. 
-	Le procès-verbal peut nous être adressé par mél pour visa du directeur des archives (articles R. 212-14 et R. 212-49 à 51 du code du patrimoine). 
-	A réception du retour, le procès-verbal sera signé du directeur, un exemplaire gardé par vos services et un autre transmis aux Archives départementales.
-	Enfin, vous noterez que la destruction physique des dossiers doit intervenir après réception du visa du directeur des Archives départementales. Il est possible de recourir au broyage (norme DIN  66399) en faisant intervenir vos services ou un prestataire extérieur tout en veillant à la sécurité des documents jusqu’à leur destruction finale. Un bon ou certificat de destruction doit être renseigné et transmis aux Archives départementales.
-	Concernant la démarche de classement et d’inventaire des archives de votre établissement, une visite sur place sera nécessaire pour évaluer les besoins et les conditions de conservation. </t>
  </si>
  <si>
    <t>Définir les durées d’archivage par typologie de document.
Archiver/supprimer des documents d’un même dossier de manière différente.</t>
  </si>
  <si>
    <t>Beaucoup de temps humain</t>
  </si>
  <si>
    <t>Clé individuelle par bureau</t>
  </si>
  <si>
    <t>Avoir des clés individuelles par bureau coté administratif.</t>
  </si>
  <si>
    <t>Un salarié administratif a accès à tous les bureaux et pourrait voler des données.</t>
  </si>
  <si>
    <t>Implique une gestion de l’affectation des clés à mettre en place.</t>
  </si>
  <si>
    <t>A définir avec un prestataire</t>
  </si>
  <si>
    <t>Regrouper les archives</t>
  </si>
  <si>
    <t>Pour une meilleure gestion des archives dans l’établissement nous vous proposons de regroupes les archives par sujets dans des armoires divisés par domaines, dans des dossiers qui indique le sujet et l’année. A l’aide de cette pratique lorsque vous recherchez une archive, le temps de recherche sera plus court et il vous sera plus facile d’identifier les archives à détruire.</t>
  </si>
  <si>
    <t>Avoir du mal à trouver les archives quand nécessaire. Perdre des données. Ne pas protéger vos données pourrait engager votre responsabilité en tant que professionnel de santé.</t>
  </si>
  <si>
    <t>Passage dans tous les bureaux pour reprendre toutes les archives.
Gestion annuelle des archives.</t>
  </si>
  <si>
    <t>Armoires fermées à clé : 300 euros
Temps estimé : Mise en place de cette solution.</t>
  </si>
  <si>
    <t>Réaliser les analyses d’impact</t>
  </si>
  <si>
    <t>Annuellement il est demandé au DPO de revoir le registre de traitement, le modifier si un traitement à évolué ou si une nouvelle finalité est apparue (Source : https://www.cnil.fr/fr/ce-quil-faut-savoir-sur-lanalyse-dimpact-relative-la-protection-des-donnees-aipd).
Principaux motifs de mise à jour : évolution du gestionnaire de traitement, des finalités, des outils utilisés, des mesures de sécurité en place, ajout / suppression d’un traitement, externalisation / internalisation d’une activité
Afin de prouver votre revue régulière en cas de contrôle par le CNIL, vous pouvez inscrire la date de revue dans la colonne prévue à cet effet. 
Il est conseillé de s’entretenir avec le/les gestionnaires de traitement avant la revue annuelle du registre.
Pour chaque traitement créé ou modifié et contenant des données personnelles sensibles, il est nécessaire de réaliser une analyse d’impact RGPD.
L’analyse d’impact se décompose en trois parties :
•	Une description détaillée du traitement mise en œuvre. C’est le registre de traitement
•	L’évaluation du respect des principes et droits fondamentaux (finalité, données et durées de conservation, information et droits des personnes, etc.)
•	L’étude des risques sur la sécurité des données (confidentialité, intégrité et disponibilité) ainsi que leurs impacts potentiels sur la vie privée, qui permet de déterminer les mesures techniques et organisationnelles nécessaires pour protéger les données.
Pour ce faire, deux solutions vous sont proposées :
•	Notre proposition d’analyse d’impact décrites dans l’annexe : Annexe RGPD 09 – Protocole d analyse d impact.docx
•	La solution de la CNIL qui vous met à disposition un outil appelé PIA : https://www.cnil.fr/fr/outil-pia-telechargez-et-installez-le-logiciel-de-la-cnil</t>
  </si>
  <si>
    <t>Réaliser la mise en conformité via mes préconisations proposées</t>
  </si>
  <si>
    <t>Temps humain</t>
  </si>
  <si>
    <t>Engagement pour externe avec accès médicaux</t>
  </si>
  <si>
    <t xml:space="preserve">Nous vous recommandons de prévoir la signature d’un engagement de confidentialité spécifique concernant les données à caractère personnel (source https://www.cnil.fr/fr/securite-informatique-sensibiliser-les-utilisateurs).
Je soussigné/e Monsieur/Madame __________, exerçant les fonctions de _______ au sein de l’organisme ________ (ci-après dénommée « l’organisme »), étant à ce titre amené/e à accéder à des données à caractère personnel, déclare reconnaître la confidentialité desdites données.
Je m’engage par conséquent, conformément aux articles 121 et 122 de la loi du 6 janvier 1978 modifiée relative à l’informatique, aux fichiers et aux libertés ainsi qu’aux articles 32 à 35 du règlement général sur la protection des données du 27 avril 2016, à prendre toutes précautions conformes aux usages et à l’état de l’art dans le cadre de mes attributions afin de protéger la confidentialité des informations auxquelles j’ai accès, et en particulier d’empêcher qu’elles ne soient communiquées à des personnes non expressément autorisées à recevoir ces informations.
Je m’engage en particulier à :
- ne pas utiliser les données auxquelles je peux accéder à des fins autres que celles prévues par mes attributions ;
- ne divulguer ces données qu’aux personnes dûment autorisées, en raison de leurs fonctions, à en recevoir communication, qu’il s’agisse de personnes privées, publiques, physiques ou morales ;
- ne faire aucune copie de ces données sauf à ce que cela soit nécessaire à l’exécution de mes fonctions ;
- prendre toutes les mesures conformes aux usages et à l’état de l’art dans le cadre de mes attributions afin d’éviter l’utilisation détournée ou frauduleuse de ces données ;
- prendre toutes précautions conformes aux usages et à l’état de l’art pour préserver la sécurité physique et logique de ces données ;
- m’assurer, dans la limite de mes attributions, que seuls des moyens de communication sécurisés seront utilisés pour transférer ces données ;
- en cas de cessation de mes fonctions, restituer intégralement les données, fichiers informatiques et tout support d’information relatif à ces données.
Cet engagement de confidentialité, en vigueur pendant toute la durée de mes fonctions, demeurera effectif, sans limitation de durée après la cessation de mes fonctions, quelle qu’en soit la cause, dès lors que cet engagement concerne l’utilisation et la communication de données à caractère personnel.
J’ai été informé que toute violation du présent engagement m’expose à des sanctions disciplinaires et pénales conformément à la réglementation en vigueur, notamment au regard des articles 226-16 à 226-24 du code pénal.
Fait à _____, le jj/mm/aaaa, en X exemplaires
Nom :                                                                                  
Signature :                                          </t>
  </si>
  <si>
    <t>Temps de création du document puis de signature</t>
  </si>
  <si>
    <t>4 : Peu urgent</t>
  </si>
  <si>
    <t>Changer de Broyeur</t>
  </si>
  <si>
    <t>Remplacer le broyeur qui n’est pas un broyeur croisé.</t>
  </si>
  <si>
    <t>Cela peut permettre à quelqu’un de mal intentionné de recréer le document</t>
  </si>
  <si>
    <t>Environ 70 euros</t>
  </si>
  <si>
    <t>Fenêtres opaques dans les bureaux</t>
  </si>
  <si>
    <t>Nous vous recommandons de mettre des films adhésifs sur les fenêtres des bureaux. Ces films permettent une excellente luminosité/visibilité sans que personne ne puisse voir l’intérieur. De cette façon les familles ne pourront pas voir les tableaux contenant des données personnelles via les vitres des bureaux. Depuis l’intérieur, le personnel continuera de voir si des personnes arrivent.</t>
  </si>
  <si>
    <t>Avoir accès à de la donnée personnelle affichée dans le bureau.</t>
  </si>
  <si>
    <t>Coût approximatif de 50 euros</t>
  </si>
  <si>
    <t>Broyeur proche de l’imprimante</t>
  </si>
  <si>
    <t>Actuellement vous avez un broyeur dans le bureau de la comptable. Celui-ci n’est donc pas totalement accessible à l’ensemble des salariés, surtout coté administratif si la comptable est absente.
Il est donc nécessaire d’ajouter un broyeur à coupe croisée proche de l’imprimante, ce qui permettra à tout le monde de pouvoir détruire un document confidentiel.
Vous avez deux solutions : soit déplacer le broyeur actuel pour le mettre proche de l’imprimante, soit en acheter un autre, cela évitant à la comptable de sortir de son bureau des documents confidentiels sans qu’ils soient broyés.</t>
  </si>
  <si>
    <t>Que des documents confidentiels se retrouvent dans une poubelle sans être broyé pouvant entrainer un piratage de donnée.</t>
  </si>
  <si>
    <t>Communiquer à l’ensemble des salariés sur la présence et l’utilité du broyeur.</t>
  </si>
  <si>
    <t>Déplacement de broyeur : Seulement un cout temporel pour la comptable.
Achat de broyeur : environ 70 euros</t>
  </si>
  <si>
    <t>Sécuriser les bannettes des salariés</t>
  </si>
  <si>
    <t>Les bannettes des salariés peuvent contenir des données personnelles et sensibles (comme les fiches de paie). Il est donc nécessaire de les sécuriser.
•	Préconisation 1 : Mettre sous pli les documents pouvant contenir de la donnée personnelle.
•	Préconisation 2 : Avoir un système de boite aux lettres avec une clé individuelle pour accéder aux documents. Ou un système de boite aux lettres avec un cache devant ne permettant pas de voir si une bannette contient du courrier.
•	Préconisation 2 bis : Donner en main propre les courriers sensibles aux salariés, par exemple les fiche paie.</t>
  </si>
  <si>
    <t>Que chaque salarié ait une clé unique. Il faudra ajouter cette clé au protocole de gestion des badges.</t>
  </si>
  <si>
    <t>Temps de gestion.
Meuble de 24 cases : environ 600 euros</t>
  </si>
  <si>
    <t>4 : Complexe</t>
  </si>
  <si>
    <t>Proscrire les fichiers Excel sur PC</t>
  </si>
  <si>
    <t>Nous vous recommandons de minimiser les fichiers (souvent Excel) sur votre PC et de supprimer ceux que vous n’utilisez plus depuis plusieurs mois (nettoyage annuel). Notamment tous les fichiers liés à des extractions de vos logiciels.
Si vous souhaitez garder certains fichiers, il faut les sauvegarder sur votre serveur dans un répertoire d’archivage. Concernant les durées de conservation des extractions, se conformer aux durées prévues dans le registre de traitement et dans l’annexe : Annexe RGPD 07 - Durées de conservation_v1.0.xlsx.
Une bonne pratique pour les extractions est de les sauvegarder dans un répertoire dont le libellé contient l’année et le mois d’extraction pour faciliter la suppression ou l’archivage. Et de mettre à minima la date dans nom du fichier.</t>
  </si>
  <si>
    <t>Faciliter le vol de données personnelles ou sensibles par des personnes malintentionnées.
Être en infraction avec la CNIL.</t>
  </si>
  <si>
    <t>Que chaque salarié « nettoie » régulièrement son poste informatique.</t>
  </si>
  <si>
    <t>Regrouper les données des dossiers</t>
  </si>
  <si>
    <t>Nous vous recommandons de regrouper les données des dossiers par type (patient, partie non médicale, partie médicale, dossier des salariés, etc.). Ceci afin de faciliter la recherche d’informations et l’archivage de leurs données. 
Nous vous recommandons aussi de centraliser l’affichage des plannings par type de personnel pour minimiser la perte potentielle de données personnelles et mieux maitriser leurs exactitudes.</t>
  </si>
  <si>
    <t>Faciliter le vol de données personnelles ou sensibles par des personnes malintentionnées.
Difficulté à archiver les informations</t>
  </si>
  <si>
    <t>Modifier le fonctionnement pour certains salariés concernés.</t>
  </si>
  <si>
    <t>"Impact du traitement" (colonne AN)</t>
  </si>
  <si>
    <t>Niveaux</t>
  </si>
  <si>
    <t>Descriptions génériques des impacts</t>
  </si>
  <si>
    <t>Négligeable</t>
  </si>
  <si>
    <t>Les personnes concernées ne seront pas impactées ou pourraient connaître quelques désagréments, qu’elles surmonteront sans difficulté</t>
  </si>
  <si>
    <t>Limité</t>
  </si>
  <si>
    <t>Les personnes concernées pourraient connaître des désagréments significatifs, qu’elles pourront surmonter malgré quelques difficultés</t>
  </si>
  <si>
    <t>Important</t>
  </si>
  <si>
    <t>Les personnes concernées pourraient connaître des conséquences significatives, qu’elles devraient pouvoir surmonter, mais avec des difficultés réelles et significatives</t>
  </si>
  <si>
    <t>Maximal</t>
  </si>
  <si>
    <t>Les personnes concernées pourraient connaître des conséquences significatives, voire irrémédiables, qu’elles pourraient ne pas surmonter</t>
  </si>
  <si>
    <t>"Détournement de finalité" (colonne AO)</t>
  </si>
  <si>
    <t>Explications</t>
  </si>
  <si>
    <t>Le traitement n'est pas détourné dans son utilisation et n'est pas déclaré à tort.</t>
  </si>
  <si>
    <t>Le traitement est déclaré à tort.</t>
  </si>
  <si>
    <t>Le traitement est détourné dans son utilisation</t>
  </si>
  <si>
    <t>"Collecte de DCP inappropriées" (colonne AQ)</t>
  </si>
  <si>
    <t>Le traitement ne collecte que les données nécessaire</t>
  </si>
  <si>
    <t>Le traitement collecte des données sensibles par erreur</t>
  </si>
  <si>
    <t>Le traitement collecte des données sensibles régulièrement à tort</t>
  </si>
  <si>
    <t>"Conservation excessive de DCP" (colonne AS)</t>
  </si>
  <si>
    <t xml:space="preserve">Est-ce qu'un archivage et une destruction des données DCP est réalisé régulièrement ? </t>
  </si>
  <si>
    <t xml:space="preserve">Est-ce qu'un archivage est réalisé régulièrement ? </t>
  </si>
  <si>
    <t xml:space="preserve">Est-ce qu'un archivage est réalisé ? </t>
  </si>
  <si>
    <t>Aucun archivage</t>
  </si>
  <si>
    <t>"Sécurisation insuffisante des DCP" (colonne AU)</t>
  </si>
  <si>
    <t>Bureau ou armoire fermé à clé, pas de donnée personnelle sur les postes, hébergement informatique des données sécurisées par les éditeurs et sous-traitants</t>
  </si>
  <si>
    <t>Les données papiers et informatiques ne sont pas accessible facilement, des modifications de procédures et des actions sont en cours</t>
  </si>
  <si>
    <t>Les données papiers ou informatiques sont accessibles malgré certaines sécurités mises en place.</t>
  </si>
  <si>
    <t>Aucune sécurité sur les données</t>
  </si>
  <si>
    <t>"Vices du consentement" (colonne AW)</t>
  </si>
  <si>
    <t>L'ensemble des processus de gestion des consentements et droit à l'image existe et est géré</t>
  </si>
  <si>
    <t>Seul le droit à l'image est géré.</t>
  </si>
  <si>
    <t>Des processus de collecte de consentement existe mais ne sont pas complets</t>
  </si>
  <si>
    <t>Aucun consentement n'est demandé aux salariés, aux personnes accompagnées ou aux personnes externes apparaissant sur une communication de l'organisme ou ayant des données collectées.</t>
  </si>
  <si>
    <t>"Manque de transparence" (colonne AY)</t>
  </si>
  <si>
    <t>Transparence complète sur les données collectées, en phase avec la règlementation RGPD</t>
  </si>
  <si>
    <t>Informations existantes sur la gestion des données sans référence au RGPD</t>
  </si>
  <si>
    <t>Certains contrats contiennent une information sur la gestion des données.</t>
  </si>
  <si>
    <t>Aucune information sur l'application de la règlementation RGPD sur les contrats salariés, personnes accompagnées, sous-traitant.</t>
  </si>
  <si>
    <t>"Incapacité à permettre l'exercice des droits" (colonne BA)</t>
  </si>
  <si>
    <t>Processus mis en place, connu et utilisé permettant à chaque acteur interne ou externe à l'organisme d'exercer ses droits.</t>
  </si>
  <si>
    <t>Traitement des demandes des personnes sur les données DCP existant et organisé mais non conforme au RGPD</t>
  </si>
  <si>
    <t>Traitement des demandes des personnes sur les données DCP existant mais mal organisé</t>
  </si>
  <si>
    <t>Aucune notion de gestion des droits des personnes mis en place</t>
  </si>
  <si>
    <t>"Transfert auprès d'un tiers mal encadré" (colonne BC)</t>
  </si>
  <si>
    <t>Aucun transfert de données hors des organismes d'état ou modifications du contrat avec ce tiers intégrant les notions RGPD</t>
  </si>
  <si>
    <t>Transfert de données en France sans revue du contrat avec le tiers</t>
  </si>
  <si>
    <t>Transfert de données en Europe sans revue du contrat avec le tiers</t>
  </si>
  <si>
    <t>Pas de connaissance sur l'hébergement et la sécurité des données transférées vers un tiers</t>
  </si>
  <si>
    <t>"Transfert hors UE abusif" (colonne BE)</t>
  </si>
  <si>
    <t>Non concerné</t>
  </si>
  <si>
    <t>Transfert de données hors UE en respectant les règles du RGPD</t>
  </si>
  <si>
    <t>Transfert de données hors UE dans un pays reconnu adéquat par la commission européenne mais sans vérification des mentions RGPD</t>
  </si>
  <si>
    <t>Pas de connaissance du pays dans lequel sont transférés les données</t>
  </si>
  <si>
    <t>"Défaut de preuve" (colonne BG)</t>
  </si>
  <si>
    <t>La gestion des données personnelles du traitement est conforme au RGPD</t>
  </si>
  <si>
    <t>Le traitement est en cours de mise en conformité RGPD</t>
  </si>
  <si>
    <t>Niveau inexistant pour cette conformité</t>
  </si>
  <si>
    <t>Aucune conformité du traitement au RGPD n'a été réalisé</t>
  </si>
  <si>
    <t>"Score global" (colonne BI)</t>
  </si>
  <si>
    <t>Entre 0 &amp; 20</t>
  </si>
  <si>
    <t>Aucune action requise, le traitement est conforme</t>
  </si>
  <si>
    <t>Entre 21 &amp; 30</t>
  </si>
  <si>
    <t>Le traitement est à surveiller, il contient quelques erreurs de conformité</t>
  </si>
  <si>
    <t>Entre 31 &amp; 40</t>
  </si>
  <si>
    <t>Une analyse d'impact du traitement plus poussé doit être réalisée pour améliorer son fonctionnement</t>
  </si>
  <si>
    <t>Entre 41 &amp; 90</t>
  </si>
  <si>
    <t>Le traitement est à revoir entièrement, il n'est pas en conformité avec la règlementation RGPD</t>
  </si>
  <si>
    <t>"Exposition du traitement" (colonne BK)</t>
  </si>
  <si>
    <t>Pas d'exposition, pas en visibilité client</t>
  </si>
  <si>
    <t>Traitement susceptible d'être contrôlé par les autorités</t>
  </si>
  <si>
    <t>Générateur de plainte</t>
  </si>
  <si>
    <t>Exposé par internet</t>
  </si>
  <si>
    <t>Colonnes BL à BT</t>
  </si>
  <si>
    <t>Colonne BL</t>
  </si>
  <si>
    <t>La colonne "évaluation / scoring" est cochée si le traitement évalue ou note les performances des personnes concernées par ce traitement, leur situation économique, leur santé, leurs préférences ou leurs intérêts personnels, leur fiabilité ou comportement, leur localisation ou leurs déplacements.</t>
  </si>
  <si>
    <t>Colonne BM</t>
  </si>
  <si>
    <t>La colonne "décision automatique" est cochée si le traitement prend une décision automatisée ayant un effet juridique ou similaire significatif : traitement visant à prendre des décisions sur des personnes concernées produisant des « effets juridiques concernant la personne physique » ou qui « affecte de manière significative de manière similaire la personne physique ».</t>
  </si>
  <si>
    <t>Colonne BN</t>
  </si>
  <si>
    <t>La colonne "surveillance systématique" est cochée si le traitement est utilisé pour observer, surveiller ou contrôler les personnes concernées, y compris les données collectées par le biais d'une « surveillance systématique d'une zone accessible au public ».</t>
  </si>
  <si>
    <t>Colonne BO</t>
  </si>
  <si>
    <t>La colonne "collecte de données sensibles" est cochée si le traitement inclut des catégories spéciales de données telles que définies à l'article 9 (par exemple informations sur les opinions politiques des individus), ainsi que des données personnelles relatives à des condamnations ou infractions.</t>
  </si>
  <si>
    <t>Colonne BP</t>
  </si>
  <si>
    <t>La colonne "collecte de données personnelles à large échelle" est cochée si le traitement traite un nombre de personnes concernées, soit un nombre spécifique, soit en proportion de la population concernée ; ou le volume de données et/ou la gamme de différents éléments de données en cours de traitement, ou la durée ou la permanence de l'activité de traitement des données ; l'étendue géographique de l'activité de traitement.</t>
  </si>
  <si>
    <t>Colonne BQ</t>
  </si>
  <si>
    <t>La colonne "croisement de données" est cochée si le traitement contient un ensemble de données qui ont été appariés ou combinés, par exemple provenant de deux ou plusieurs données.</t>
  </si>
  <si>
    <t>Colonne BR</t>
  </si>
  <si>
    <t>La colonne "personnes vulnérables" est cochée si le traitement concerne un déséquilibre de pouvoir accru entre la personne concernée et le responsable du traitement, ce qui signifie que la personne peut ne pas être en mesure de consentir ou de s'opposer au traitement de ses données.</t>
  </si>
  <si>
    <t>Colonne BS</t>
  </si>
  <si>
    <t>La colonne "usage innovant" est cochée si le traitement combine l'utilisation de reconnaissance des empreintes digitales et des visages pour un meilleur contrôle d'accès physique par exemple.</t>
  </si>
  <si>
    <t>Colonne BT</t>
  </si>
  <si>
    <t>La colonne "exclusion du bénéfice d’un droit/contrat" est cochée si le traitement concerne un transfert de données transfrontalier en dehors de l'Union européenne.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</si>
</sst>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0"/>
      <color indexed="8"/>
      <name val="Arial"/>
    </font>
    <font>
      <sz val="11"/>
      <color theme="1"/>
      <name val="Helvetica Neue"/>
      <family val="2"/>
      <scheme val="minor"/>
    </font>
    <font>
      <b/>
      <sz val="14"/>
      <color indexed="11"/>
      <name val="Arial"/>
      <family val="2"/>
    </font>
    <font>
      <sz val="14"/>
      <color indexed="8"/>
      <name val="Arial"/>
      <family val="2"/>
    </font>
    <font>
      <b/>
      <sz val="12"/>
      <color indexed="9"/>
      <name val="Arial"/>
      <family val="2"/>
    </font>
    <font>
      <b/>
      <sz val="10"/>
      <color indexed="8"/>
      <name val="Arial"/>
      <family val="2"/>
    </font>
    <font>
      <b/>
      <sz val="11"/>
      <color indexed="9"/>
      <name val="Arial"/>
      <family val="2"/>
    </font>
    <font>
      <sz val="10"/>
      <color indexed="11"/>
      <name val="Arial"/>
      <family val="2"/>
    </font>
    <font>
      <b/>
      <sz val="10"/>
      <color indexed="11"/>
      <name val="Arial"/>
      <family val="2"/>
    </font>
    <font>
      <sz val="11"/>
      <color indexed="8"/>
      <name val="Arial"/>
      <family val="2"/>
    </font>
    <font>
      <b/>
      <sz val="16"/>
      <color theme="0"/>
      <name val="Arial"/>
      <family val="2"/>
    </font>
    <font>
      <sz val="9"/>
      <color indexed="81"/>
      <name val="Tahoma"/>
      <family val="2"/>
    </font>
    <font>
      <b/>
      <sz val="14"/>
      <color theme="0"/>
      <name val="Arial"/>
      <family val="2"/>
    </font>
    <font>
      <sz val="10"/>
      <color indexed="8"/>
      <name val="Arial"/>
      <family val="2"/>
    </font>
    <font>
      <sz val="11"/>
      <color theme="0"/>
      <name val="Helvetica Neue"/>
      <family val="2"/>
      <scheme val="minor"/>
    </font>
    <font>
      <sz val="8"/>
      <name val="Arial"/>
      <family val="2"/>
    </font>
    <font>
      <sz val="8"/>
      <name val="Arial"/>
      <family val="2"/>
    </font>
    <font>
      <b/>
      <sz val="14"/>
      <color indexed="9"/>
      <name val="Arial"/>
      <family val="2"/>
    </font>
    <font>
      <b/>
      <sz val="10"/>
      <color indexed="9"/>
      <name val="Arial"/>
      <family val="2"/>
    </font>
    <font>
      <b/>
      <sz val="18"/>
      <color theme="0"/>
      <name val="Arial"/>
      <family val="2"/>
    </font>
    <font>
      <b/>
      <sz val="20"/>
      <color indexed="9"/>
      <name val="Arial"/>
      <family val="2"/>
    </font>
    <font>
      <b/>
      <sz val="10"/>
      <color rgb="FF00477F"/>
      <name val="Arial"/>
      <family val="2"/>
    </font>
    <font>
      <i/>
      <sz val="10"/>
      <color indexed="8"/>
      <name val="Arial"/>
      <family val="2"/>
    </font>
    <font>
      <sz val="10"/>
      <color rgb="FF002060"/>
      <name val="Arial"/>
      <family val="2"/>
    </font>
    <font>
      <sz val="10"/>
      <color rgb="FFFF0000"/>
      <name val="Arial"/>
      <family val="2"/>
    </font>
    <font>
      <b/>
      <sz val="12"/>
      <color theme="0"/>
      <name val="Arial"/>
      <family val="2"/>
    </font>
    <font>
      <sz val="10"/>
      <color rgb="FF00477F"/>
      <name val="Arial"/>
      <family val="2"/>
    </font>
    <font>
      <sz val="10"/>
      <color theme="4" tint="-0.499984740745262"/>
      <name val="Arial"/>
      <family val="2"/>
    </font>
    <font>
      <u/>
      <sz val="10"/>
      <color theme="10"/>
      <name val="Arial"/>
      <family val="2"/>
    </font>
    <font>
      <sz val="10"/>
      <name val="Arial"/>
      <family val="2"/>
    </font>
    <font>
      <sz val="10"/>
      <color indexed="8"/>
      <name val="Arial"/>
      <family val="2"/>
    </font>
    <font>
      <b/>
      <sz val="11"/>
      <color indexed="22"/>
      <name val="Tahoma"/>
      <family val="2"/>
    </font>
    <font>
      <b/>
      <sz val="11"/>
      <color indexed="9"/>
      <name val="Tahoma"/>
      <family val="2"/>
    </font>
    <font>
      <b/>
      <sz val="11"/>
      <color indexed="24"/>
      <name val="Tahoma"/>
      <family val="2"/>
    </font>
    <font>
      <sz val="11"/>
      <color indexed="26"/>
      <name val="Tahoma"/>
      <family val="2"/>
    </font>
    <font>
      <sz val="10"/>
      <color theme="1"/>
      <name val="Arial"/>
      <family val="2"/>
    </font>
    <font>
      <u/>
      <sz val="11"/>
      <color theme="10"/>
      <name val="Helvetica Neue"/>
      <family val="2"/>
      <scheme val="minor"/>
    </font>
    <font>
      <sz val="10"/>
      <color rgb="FFFFFFFF"/>
      <name val="Segoe UI"/>
      <family val="2"/>
    </font>
    <font>
      <sz val="10"/>
      <color rgb="FF34567C"/>
      <name val="Segoe UI"/>
      <family val="2"/>
    </font>
    <font>
      <sz val="10"/>
      <color rgb="FF000000"/>
      <name val="Segoe UI"/>
      <family val="2"/>
    </font>
    <font>
      <i/>
      <sz val="10"/>
      <color rgb="FF000000"/>
      <name val="Segoe UI"/>
      <family val="2"/>
    </font>
    <font>
      <b/>
      <sz val="10"/>
      <color rgb="FF000000"/>
      <name val="Segoe UI"/>
      <family val="2"/>
    </font>
    <font>
      <b/>
      <sz val="10"/>
      <color rgb="FF00B050"/>
      <name val="Arial"/>
      <family val="2"/>
    </font>
    <font>
      <b/>
      <sz val="11"/>
      <color theme="1"/>
      <name val="Aptos Narrow"/>
      <family val="2"/>
      <scheme val="minor"/>
    </font>
  </fonts>
  <fills count="30">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22"/>
        <bgColor auto="1"/>
      </patternFill>
    </fill>
    <fill>
      <patternFill patternType="solid">
        <fgColor indexed="25"/>
        <bgColor auto="1"/>
      </patternFill>
    </fill>
    <fill>
      <patternFill patternType="solid">
        <fgColor indexed="27"/>
        <bgColor auto="1"/>
      </patternFill>
    </fill>
    <fill>
      <patternFill patternType="solid">
        <fgColor indexed="28"/>
        <bgColor auto="1"/>
      </patternFill>
    </fill>
    <fill>
      <patternFill patternType="solid">
        <fgColor indexed="29"/>
        <bgColor auto="1"/>
      </patternFill>
    </fill>
    <fill>
      <patternFill patternType="solid">
        <fgColor theme="4" tint="-0.499984740745262"/>
        <bgColor indexed="64"/>
      </patternFill>
    </fill>
    <fill>
      <patternFill patternType="solid">
        <fgColor theme="4" tint="-0.249977111117893"/>
        <bgColor indexed="64"/>
      </patternFill>
    </fill>
    <fill>
      <patternFill patternType="solid">
        <fgColor theme="0"/>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rgb="FFC0000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008080"/>
        <bgColor indexed="64"/>
      </patternFill>
    </fill>
    <fill>
      <patternFill patternType="solid">
        <fgColor theme="5" tint="-0.499984740745262"/>
        <bgColor indexed="64"/>
      </patternFill>
    </fill>
    <fill>
      <patternFill patternType="solid">
        <fgColor theme="8" tint="-0.49998474074526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34567C"/>
        <bgColor indexed="64"/>
      </patternFill>
    </fill>
    <fill>
      <patternFill patternType="solid">
        <fgColor rgb="FFFFFFFF"/>
        <bgColor indexed="64"/>
      </patternFill>
    </fill>
    <fill>
      <patternFill patternType="solid">
        <fgColor rgb="FFF5F5F5"/>
        <bgColor indexed="64"/>
      </patternFill>
    </fill>
  </fills>
  <borders count="56">
    <border>
      <left/>
      <right/>
      <top/>
      <bottom/>
      <diagonal/>
    </border>
    <border>
      <left style="medium">
        <color indexed="8"/>
      </left>
      <right style="thin">
        <color indexed="10"/>
      </right>
      <top style="medium">
        <color indexed="8"/>
      </top>
      <bottom style="medium">
        <color indexed="8"/>
      </bottom>
      <diagonal/>
    </border>
    <border>
      <left style="thin">
        <color indexed="10"/>
      </left>
      <right style="medium">
        <color indexed="8"/>
      </right>
      <top style="medium">
        <color indexed="8"/>
      </top>
      <bottom style="medium">
        <color indexed="8"/>
      </bottom>
      <diagonal/>
    </border>
    <border>
      <left/>
      <right/>
      <top/>
      <bottom/>
      <diagonal/>
    </border>
    <border>
      <left/>
      <right/>
      <top style="thin">
        <color indexed="10"/>
      </top>
      <bottom/>
      <diagonal/>
    </border>
    <border>
      <left/>
      <right style="thin">
        <color indexed="10"/>
      </right>
      <top style="thin">
        <color indexed="10"/>
      </top>
      <bottom/>
      <diagonal/>
    </border>
    <border>
      <left/>
      <right style="thin">
        <color indexed="10"/>
      </right>
      <top/>
      <bottom/>
      <diagonal/>
    </border>
    <border>
      <left style="thin">
        <color indexed="10"/>
      </left>
      <right/>
      <top/>
      <bottom/>
      <diagonal/>
    </border>
    <border>
      <left/>
      <right/>
      <top/>
      <bottom style="thin">
        <color indexed="14"/>
      </bottom>
      <diagonal/>
    </border>
    <border>
      <left/>
      <right/>
      <top/>
      <bottom style="thin">
        <color indexed="15"/>
      </bottom>
      <diagonal/>
    </border>
    <border>
      <left style="thin">
        <color indexed="10"/>
      </left>
      <right style="thin">
        <color indexed="9"/>
      </right>
      <top/>
      <bottom/>
      <diagonal/>
    </border>
    <border>
      <left style="thin">
        <color indexed="8"/>
      </left>
      <right style="thin">
        <color indexed="8"/>
      </right>
      <top style="thin">
        <color indexed="8"/>
      </top>
      <bottom style="thin">
        <color indexed="8"/>
      </bottom>
      <diagonal/>
    </border>
    <border>
      <left style="thin">
        <color indexed="9"/>
      </left>
      <right style="thin">
        <color indexed="9"/>
      </right>
      <top style="thin">
        <color indexed="14"/>
      </top>
      <bottom style="thick">
        <color indexed="9"/>
      </bottom>
      <diagonal/>
    </border>
    <border>
      <left style="thin">
        <color indexed="9"/>
      </left>
      <right style="thin">
        <color indexed="9"/>
      </right>
      <top style="thick">
        <color indexed="9"/>
      </top>
      <bottom style="thin">
        <color indexed="9"/>
      </bottom>
      <diagonal/>
    </border>
    <border>
      <left style="thin">
        <color indexed="9"/>
      </left>
      <right style="thick">
        <color indexed="9"/>
      </right>
      <top style="thick">
        <color indexed="9"/>
      </top>
      <bottom style="thin">
        <color indexed="9"/>
      </bottom>
      <diagonal/>
    </border>
    <border>
      <left style="thick">
        <color indexed="9"/>
      </left>
      <right style="thin">
        <color indexed="9"/>
      </right>
      <top style="thick">
        <color indexed="9"/>
      </top>
      <bottom style="thin">
        <color indexed="9"/>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top/>
      <bottom style="thin">
        <color indexed="14"/>
      </bottom>
      <diagonal/>
    </border>
    <border>
      <left style="thin">
        <color indexed="14"/>
      </left>
      <right/>
      <top style="thin">
        <color indexed="14"/>
      </top>
      <bottom style="thin">
        <color indexed="9"/>
      </bottom>
      <diagonal/>
    </border>
    <border>
      <left/>
      <right style="thin">
        <color indexed="14"/>
      </right>
      <top style="thin">
        <color indexed="14"/>
      </top>
      <bottom style="thin">
        <color indexed="9"/>
      </bottom>
      <diagonal/>
    </border>
    <border>
      <left style="thin">
        <color indexed="14"/>
      </left>
      <right/>
      <top style="thin">
        <color indexed="9"/>
      </top>
      <bottom style="thin">
        <color indexed="9"/>
      </bottom>
      <diagonal/>
    </border>
    <border>
      <left style="thin">
        <color indexed="14"/>
      </left>
      <right/>
      <top style="thin">
        <color indexed="9"/>
      </top>
      <bottom style="thin">
        <color indexed="14"/>
      </bottom>
      <diagonal/>
    </border>
    <border>
      <left/>
      <right/>
      <top style="thin">
        <color indexed="14"/>
      </top>
      <bottom/>
      <diagonal/>
    </border>
    <border>
      <left style="thin">
        <color indexed="64"/>
      </left>
      <right style="thin">
        <color indexed="64"/>
      </right>
      <top style="thin">
        <color indexed="64"/>
      </top>
      <bottom style="thin">
        <color indexed="64"/>
      </bottom>
      <diagonal/>
    </border>
    <border>
      <left style="thin">
        <color indexed="10"/>
      </left>
      <right/>
      <top style="thin">
        <color indexed="10"/>
      </top>
      <bottom style="medium">
        <color indexed="8"/>
      </bottom>
      <diagonal/>
    </border>
    <border>
      <left style="thin">
        <color indexed="10"/>
      </left>
      <right/>
      <top style="medium">
        <color indexed="8"/>
      </top>
      <bottom/>
      <diagonal/>
    </border>
    <border>
      <left/>
      <right style="thin">
        <color indexed="10"/>
      </right>
      <top style="thin">
        <color indexed="10"/>
      </top>
      <bottom style="medium">
        <color indexed="8"/>
      </bottom>
      <diagonal/>
    </border>
    <border>
      <left/>
      <right style="thin">
        <color indexed="10"/>
      </right>
      <top style="medium">
        <color indexed="8"/>
      </top>
      <bottom/>
      <diagonal/>
    </border>
    <border>
      <left style="thin">
        <color indexed="15"/>
      </left>
      <right/>
      <top/>
      <bottom style="thin">
        <color indexed="14"/>
      </bottom>
      <diagonal/>
    </border>
    <border>
      <left style="thin">
        <color indexed="9"/>
      </left>
      <right/>
      <top style="thin">
        <color indexed="8"/>
      </top>
      <bottom style="thin">
        <color indexed="9"/>
      </bottom>
      <diagonal/>
    </border>
    <border>
      <left/>
      <right/>
      <top style="thin">
        <color indexed="8"/>
      </top>
      <bottom style="thin">
        <color indexed="9"/>
      </bottom>
      <diagonal/>
    </border>
    <border>
      <left/>
      <right style="thin">
        <color indexed="10"/>
      </right>
      <top style="thin">
        <color indexed="8"/>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10"/>
      </right>
      <top style="thin">
        <color indexed="9"/>
      </top>
      <bottom style="thin">
        <color indexed="9"/>
      </bottom>
      <diagonal/>
    </border>
    <border>
      <left style="thin">
        <color indexed="10"/>
      </left>
      <right/>
      <top style="thin">
        <color indexed="10"/>
      </top>
      <bottom/>
      <diagonal/>
    </border>
    <border>
      <left style="thin">
        <color indexed="14"/>
      </left>
      <right style="thin">
        <color indexed="9"/>
      </right>
      <top style="thin">
        <color theme="0"/>
      </top>
      <bottom style="thick">
        <color indexed="9"/>
      </bottom>
      <diagonal/>
    </border>
    <border>
      <left style="thin">
        <color indexed="9"/>
      </left>
      <right/>
      <top style="thin">
        <color indexed="14"/>
      </top>
      <bottom/>
      <diagonal/>
    </border>
    <border>
      <left/>
      <right style="thick">
        <color indexed="9"/>
      </right>
      <top style="thin">
        <color indexed="14"/>
      </top>
      <bottom/>
      <diagonal/>
    </border>
    <border>
      <left style="thin">
        <color indexed="9"/>
      </left>
      <right style="thin">
        <color indexed="9"/>
      </right>
      <top style="thin">
        <color theme="0"/>
      </top>
      <bottom style="thick">
        <color indexed="9"/>
      </bottom>
      <diagonal/>
    </border>
    <border>
      <left style="thin">
        <color indexed="14"/>
      </left>
      <right/>
      <top style="thin">
        <color theme="0"/>
      </top>
      <bottom style="thick">
        <color indexed="9"/>
      </bottom>
      <diagonal/>
    </border>
    <border>
      <left style="thick">
        <color indexed="9"/>
      </left>
      <right/>
      <top style="thin">
        <color indexed="14"/>
      </top>
      <bottom/>
      <diagonal/>
    </border>
    <border>
      <left style="thin">
        <color indexed="9"/>
      </left>
      <right/>
      <top style="thin">
        <color theme="0"/>
      </top>
      <bottom style="thick">
        <color indexed="9"/>
      </bottom>
      <diagonal/>
    </border>
    <border>
      <left style="thick">
        <color indexed="9"/>
      </left>
      <right/>
      <top style="thin">
        <color indexed="15"/>
      </top>
      <bottom/>
      <diagonal/>
    </border>
    <border>
      <left/>
      <right/>
      <top style="thin">
        <color indexed="15"/>
      </top>
      <bottom/>
      <diagonal/>
    </border>
    <border>
      <left/>
      <right style="thin">
        <color indexed="15"/>
      </right>
      <top style="thin">
        <color indexed="15"/>
      </top>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thin">
        <color theme="0"/>
      </left>
      <right style="thin">
        <color theme="0"/>
      </right>
      <top/>
      <bottom style="thin">
        <color indexed="14"/>
      </bottom>
      <diagonal/>
    </border>
    <border>
      <left style="thin">
        <color indexed="14"/>
      </left>
      <right style="thin">
        <color indexed="14"/>
      </right>
      <top style="thin">
        <color indexed="14"/>
      </top>
      <bottom style="thin">
        <color indexed="14"/>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thin">
        <color indexed="64"/>
      </left>
      <right style="thin">
        <color indexed="64"/>
      </right>
      <top/>
      <bottom style="thin">
        <color indexed="64"/>
      </bottom>
      <diagonal/>
    </border>
  </borders>
  <cellStyleXfs count="6">
    <xf numFmtId="0" fontId="0" fillId="0" borderId="0" applyNumberFormat="0" applyFill="0" applyBorder="0" applyProtection="0"/>
    <xf numFmtId="0" fontId="13" fillId="0" borderId="3" applyNumberFormat="0" applyFill="0" applyBorder="0" applyProtection="0"/>
    <xf numFmtId="0" fontId="28" fillId="0" borderId="0" applyNumberFormat="0" applyFill="0" applyBorder="0" applyAlignment="0" applyProtection="0"/>
    <xf numFmtId="0" fontId="30" fillId="0" borderId="3" applyNumberFormat="0" applyFill="0" applyBorder="0" applyProtection="0"/>
    <xf numFmtId="0" fontId="1" fillId="0" borderId="3"/>
    <xf numFmtId="0" fontId="36" fillId="0" borderId="3" applyNumberFormat="0" applyFill="0" applyBorder="0" applyAlignment="0" applyProtection="0"/>
  </cellStyleXfs>
  <cellXfs count="202">
    <xf numFmtId="0" fontId="0" fillId="0" borderId="0" xfId="0"/>
    <xf numFmtId="0" fontId="0" fillId="0" borderId="0" xfId="0" applyNumberFormat="1"/>
    <xf numFmtId="0" fontId="0" fillId="2" borderId="4" xfId="0" applyFill="1" applyBorder="1"/>
    <xf numFmtId="0" fontId="0" fillId="2" borderId="3" xfId="0" applyFill="1" applyBorder="1"/>
    <xf numFmtId="0" fontId="0" fillId="2" borderId="8" xfId="0" applyFill="1" applyBorder="1"/>
    <xf numFmtId="0" fontId="0" fillId="2" borderId="9" xfId="0" applyFill="1" applyBorder="1"/>
    <xf numFmtId="0" fontId="0" fillId="2" borderId="17" xfId="0" applyFill="1" applyBorder="1"/>
    <xf numFmtId="0" fontId="0" fillId="0" borderId="0" xfId="0" applyAlignment="1">
      <alignment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left"/>
    </xf>
    <xf numFmtId="0" fontId="14" fillId="12" borderId="25" xfId="0" applyFont="1" applyFill="1" applyBorder="1"/>
    <xf numFmtId="0" fontId="0" fillId="0" borderId="25" xfId="0" applyFill="1" applyBorder="1" applyAlignment="1">
      <alignment horizontal="left" vertical="top" wrapText="1"/>
    </xf>
    <xf numFmtId="0" fontId="0" fillId="0" borderId="25" xfId="0" applyFill="1" applyBorder="1"/>
    <xf numFmtId="0" fontId="13" fillId="0" borderId="25" xfId="0" applyFont="1" applyFill="1" applyBorder="1" applyAlignment="1">
      <alignment horizontal="left" vertical="top" wrapText="1"/>
    </xf>
    <xf numFmtId="0" fontId="0" fillId="2" borderId="26" xfId="0" applyFill="1" applyBorder="1" applyAlignment="1">
      <alignment vertical="center" wrapText="1"/>
    </xf>
    <xf numFmtId="0" fontId="0" fillId="2" borderId="27" xfId="0" applyFill="1" applyBorder="1" applyAlignment="1">
      <alignment vertical="center" wrapText="1"/>
    </xf>
    <xf numFmtId="0" fontId="0" fillId="0" borderId="3" xfId="0" applyNumberFormat="1" applyBorder="1"/>
    <xf numFmtId="0" fontId="0" fillId="13" borderId="3" xfId="0" applyFill="1" applyBorder="1" applyAlignment="1">
      <alignment vertical="center" wrapText="1"/>
    </xf>
    <xf numFmtId="0" fontId="0" fillId="13" borderId="3" xfId="0" applyNumberFormat="1" applyFill="1" applyBorder="1"/>
    <xf numFmtId="0" fontId="0" fillId="2" borderId="28" xfId="0" applyFill="1" applyBorder="1" applyAlignment="1">
      <alignment vertical="center" wrapText="1"/>
    </xf>
    <xf numFmtId="0" fontId="3" fillId="2" borderId="29" xfId="0" applyFont="1" applyFill="1" applyBorder="1" applyAlignment="1">
      <alignment vertical="center" wrapText="1"/>
    </xf>
    <xf numFmtId="0" fontId="0" fillId="2" borderId="3" xfId="0" applyFill="1" applyBorder="1" applyAlignment="1">
      <alignment vertical="center" wrapText="1"/>
    </xf>
    <xf numFmtId="0" fontId="0" fillId="2" borderId="6" xfId="0" applyFill="1" applyBorder="1" applyAlignment="1">
      <alignment vertical="center" wrapText="1"/>
    </xf>
    <xf numFmtId="0" fontId="0" fillId="2" borderId="7" xfId="0" applyFill="1" applyBorder="1" applyAlignment="1">
      <alignment vertical="center" wrapText="1"/>
    </xf>
    <xf numFmtId="49" fontId="0" fillId="2" borderId="25" xfId="0" applyNumberFormat="1" applyFill="1" applyBorder="1" applyAlignment="1">
      <alignment vertical="center" wrapText="1"/>
    </xf>
    <xf numFmtId="0" fontId="0" fillId="0" borderId="25" xfId="0" applyBorder="1"/>
    <xf numFmtId="0" fontId="0" fillId="0" borderId="25" xfId="0" applyBorder="1" applyAlignment="1">
      <alignment vertical="top" wrapText="1"/>
    </xf>
    <xf numFmtId="0" fontId="0" fillId="0" borderId="25" xfId="0" applyBorder="1" applyAlignment="1">
      <alignment vertical="center"/>
    </xf>
    <xf numFmtId="0" fontId="0" fillId="2" borderId="4" xfId="0" applyFill="1" applyBorder="1" applyAlignment="1">
      <alignment horizontal="center"/>
    </xf>
    <xf numFmtId="0" fontId="0" fillId="2" borderId="5" xfId="0" applyFill="1" applyBorder="1"/>
    <xf numFmtId="0" fontId="0" fillId="2" borderId="3" xfId="0" applyFill="1" applyBorder="1" applyAlignment="1">
      <alignment horizontal="center"/>
    </xf>
    <xf numFmtId="0" fontId="0" fillId="2" borderId="6" xfId="0" applyFill="1" applyBorder="1"/>
    <xf numFmtId="49" fontId="18" fillId="3" borderId="31" xfId="0" applyNumberFormat="1" applyFont="1" applyFill="1" applyBorder="1" applyAlignment="1">
      <alignment horizontal="center" vertical="center" wrapText="1"/>
    </xf>
    <xf numFmtId="49" fontId="18" fillId="3" borderId="32" xfId="0" applyNumberFormat="1" applyFont="1" applyFill="1" applyBorder="1" applyAlignment="1">
      <alignment horizontal="center" vertical="center" wrapText="1"/>
    </xf>
    <xf numFmtId="49" fontId="18" fillId="3" borderId="33" xfId="0" applyNumberFormat="1" applyFont="1" applyFill="1" applyBorder="1" applyAlignment="1">
      <alignment horizontal="center" vertical="center" wrapText="1"/>
    </xf>
    <xf numFmtId="0" fontId="0" fillId="2" borderId="18" xfId="0" applyFill="1" applyBorder="1"/>
    <xf numFmtId="0" fontId="17" fillId="19" borderId="8" xfId="0" applyFont="1" applyFill="1" applyBorder="1" applyAlignment="1">
      <alignment horizontal="center" vertical="center" wrapText="1"/>
    </xf>
    <xf numFmtId="49" fontId="7" fillId="20" borderId="13" xfId="0" applyNumberFormat="1" applyFont="1" applyFill="1" applyBorder="1" applyAlignment="1">
      <alignment horizontal="center" vertical="center" wrapText="1"/>
    </xf>
    <xf numFmtId="49" fontId="8" fillId="20" borderId="13" xfId="0" applyNumberFormat="1" applyFont="1" applyFill="1" applyBorder="1" applyAlignment="1">
      <alignment horizontal="center" vertical="center" wrapText="1"/>
    </xf>
    <xf numFmtId="14" fontId="8" fillId="20" borderId="13" xfId="0" applyNumberFormat="1" applyFont="1" applyFill="1" applyBorder="1" applyAlignment="1">
      <alignment horizontal="center" vertical="center" wrapText="1"/>
    </xf>
    <xf numFmtId="0" fontId="7" fillId="20" borderId="13" xfId="0" applyFont="1" applyFill="1" applyBorder="1" applyAlignment="1">
      <alignment horizontal="center" vertical="center" wrapText="1"/>
    </xf>
    <xf numFmtId="0" fontId="8" fillId="20" borderId="13" xfId="0" applyFont="1" applyFill="1" applyBorder="1" applyAlignment="1">
      <alignment horizontal="center" vertical="center" wrapText="1"/>
    </xf>
    <xf numFmtId="49" fontId="7" fillId="20" borderId="14" xfId="0" quotePrefix="1" applyNumberFormat="1" applyFont="1" applyFill="1" applyBorder="1" applyAlignment="1">
      <alignment horizontal="left" vertical="center" wrapText="1"/>
    </xf>
    <xf numFmtId="0" fontId="7" fillId="20" borderId="14" xfId="0" applyFont="1" applyFill="1" applyBorder="1" applyAlignment="1">
      <alignment horizontal="center" vertical="center" wrapText="1"/>
    </xf>
    <xf numFmtId="49" fontId="7" fillId="21" borderId="13" xfId="0" applyNumberFormat="1" applyFont="1" applyFill="1" applyBorder="1" applyAlignment="1">
      <alignment horizontal="center" vertical="center" wrapText="1"/>
    </xf>
    <xf numFmtId="49" fontId="8" fillId="21" borderId="13" xfId="0" applyNumberFormat="1" applyFont="1" applyFill="1" applyBorder="1" applyAlignment="1">
      <alignment horizontal="center" vertical="center" wrapText="1"/>
    </xf>
    <xf numFmtId="14" fontId="8" fillId="21" borderId="13" xfId="0" applyNumberFormat="1" applyFont="1" applyFill="1" applyBorder="1" applyAlignment="1">
      <alignment horizontal="center" vertical="center" wrapText="1"/>
    </xf>
    <xf numFmtId="0" fontId="7" fillId="21" borderId="13" xfId="0" applyFont="1" applyFill="1" applyBorder="1" applyAlignment="1">
      <alignment horizontal="center" vertical="center" wrapText="1"/>
    </xf>
    <xf numFmtId="0" fontId="8" fillId="21" borderId="13" xfId="0" applyFont="1" applyFill="1" applyBorder="1" applyAlignment="1">
      <alignment horizontal="center" vertical="center" wrapText="1"/>
    </xf>
    <xf numFmtId="49" fontId="7" fillId="21" borderId="14" xfId="0" quotePrefix="1" applyNumberFormat="1" applyFont="1" applyFill="1" applyBorder="1" applyAlignment="1">
      <alignment horizontal="left" vertical="center" wrapText="1"/>
    </xf>
    <xf numFmtId="0" fontId="7" fillId="21" borderId="14" xfId="0" applyFont="1" applyFill="1" applyBorder="1" applyAlignment="1">
      <alignment horizontal="center" vertical="center" wrapText="1"/>
    </xf>
    <xf numFmtId="49" fontId="6" fillId="3" borderId="37" xfId="0" applyNumberFormat="1" applyFont="1" applyFill="1" applyBorder="1" applyAlignment="1">
      <alignment horizontal="center" vertical="center" wrapText="1"/>
    </xf>
    <xf numFmtId="49" fontId="6" fillId="3" borderId="40" xfId="0" applyNumberFormat="1" applyFont="1" applyFill="1" applyBorder="1" applyAlignment="1">
      <alignment horizontal="center" vertical="center" wrapText="1"/>
    </xf>
    <xf numFmtId="49" fontId="6" fillId="3" borderId="41" xfId="0" applyNumberFormat="1" applyFont="1" applyFill="1" applyBorder="1" applyAlignment="1">
      <alignment horizontal="center" vertical="center" wrapText="1"/>
    </xf>
    <xf numFmtId="49" fontId="6" fillId="14" borderId="37" xfId="0" applyNumberFormat="1" applyFont="1" applyFill="1" applyBorder="1" applyAlignment="1">
      <alignment horizontal="center" vertical="center" wrapText="1"/>
    </xf>
    <xf numFmtId="49" fontId="6" fillId="14" borderId="40" xfId="0" applyNumberFormat="1" applyFont="1" applyFill="1" applyBorder="1" applyAlignment="1">
      <alignment horizontal="center" vertical="center" wrapText="1"/>
    </xf>
    <xf numFmtId="49" fontId="6" fillId="15" borderId="37" xfId="0" applyNumberFormat="1" applyFont="1" applyFill="1" applyBorder="1" applyAlignment="1">
      <alignment horizontal="center" vertical="center" wrapText="1"/>
    </xf>
    <xf numFmtId="49" fontId="6" fillId="15" borderId="40" xfId="0" applyNumberFormat="1" applyFont="1" applyFill="1" applyBorder="1" applyAlignment="1">
      <alignment horizontal="center" vertical="center" wrapText="1"/>
    </xf>
    <xf numFmtId="49" fontId="6" fillId="14" borderId="43" xfId="0" applyNumberFormat="1" applyFont="1" applyFill="1" applyBorder="1" applyAlignment="1">
      <alignment horizontal="center" vertical="center" wrapText="1"/>
    </xf>
    <xf numFmtId="0" fontId="13" fillId="0" borderId="3" xfId="1" applyAlignment="1">
      <alignment vertical="center"/>
    </xf>
    <xf numFmtId="0" fontId="13" fillId="0" borderId="47" xfId="1" applyBorder="1" applyAlignment="1">
      <alignment horizontal="center" vertical="center" wrapText="1"/>
    </xf>
    <xf numFmtId="0" fontId="13" fillId="0" borderId="48" xfId="1" applyBorder="1" applyAlignment="1">
      <alignment horizontal="center" vertical="center" wrapText="1"/>
    </xf>
    <xf numFmtId="0" fontId="13" fillId="0" borderId="49" xfId="1" applyBorder="1" applyAlignment="1">
      <alignment horizontal="center" vertical="center" wrapText="1"/>
    </xf>
    <xf numFmtId="0" fontId="13" fillId="0" borderId="3" xfId="1" applyAlignment="1">
      <alignment horizontal="center" vertical="center" wrapText="1"/>
    </xf>
    <xf numFmtId="0" fontId="13" fillId="0" borderId="3" xfId="1" applyAlignment="1">
      <alignment vertical="center" wrapText="1"/>
    </xf>
    <xf numFmtId="0" fontId="13" fillId="0" borderId="3" xfId="1" applyAlignment="1">
      <alignment horizontal="left" vertical="center"/>
    </xf>
    <xf numFmtId="0" fontId="22" fillId="0" borderId="3" xfId="1" applyFont="1" applyAlignment="1">
      <alignment vertical="center"/>
    </xf>
    <xf numFmtId="0" fontId="23" fillId="0" borderId="3" xfId="1" applyFont="1" applyAlignment="1">
      <alignment vertical="center"/>
    </xf>
    <xf numFmtId="0" fontId="24" fillId="0" borderId="3" xfId="1" applyFont="1" applyAlignment="1">
      <alignment vertical="center"/>
    </xf>
    <xf numFmtId="49" fontId="8" fillId="20" borderId="15" xfId="0" applyNumberFormat="1" applyFont="1" applyFill="1" applyBorder="1" applyAlignment="1">
      <alignment horizontal="left" vertical="center" wrapText="1"/>
    </xf>
    <xf numFmtId="49" fontId="8" fillId="21" borderId="15" xfId="0" applyNumberFormat="1" applyFont="1" applyFill="1" applyBorder="1" applyAlignment="1">
      <alignment horizontal="left" vertical="center" wrapText="1"/>
    </xf>
    <xf numFmtId="49" fontId="26" fillId="21" borderId="13" xfId="0" applyNumberFormat="1" applyFont="1" applyFill="1" applyBorder="1" applyAlignment="1">
      <alignment horizontal="center" vertical="center" wrapText="1"/>
    </xf>
    <xf numFmtId="49" fontId="26" fillId="20" borderId="13" xfId="0" applyNumberFormat="1" applyFont="1" applyFill="1" applyBorder="1" applyAlignment="1">
      <alignment horizontal="center" vertical="center" wrapText="1"/>
    </xf>
    <xf numFmtId="0" fontId="26" fillId="20" borderId="13" xfId="0" applyFont="1" applyFill="1" applyBorder="1" applyAlignment="1">
      <alignment horizontal="center" vertical="center" wrapText="1"/>
    </xf>
    <xf numFmtId="0" fontId="13"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center"/>
    </xf>
    <xf numFmtId="0" fontId="13" fillId="0" borderId="0" xfId="0" applyFont="1" applyAlignment="1">
      <alignment vertical="center"/>
    </xf>
    <xf numFmtId="0" fontId="0" fillId="0" borderId="0" xfId="0" applyAlignment="1">
      <alignment horizontal="left" vertical="center"/>
    </xf>
    <xf numFmtId="0" fontId="13" fillId="0" borderId="0" xfId="0" applyFont="1" applyAlignment="1">
      <alignment horizontal="left" vertical="center"/>
    </xf>
    <xf numFmtId="49" fontId="6" fillId="17" borderId="12" xfId="0" applyNumberFormat="1" applyFont="1" applyFill="1" applyBorder="1" applyAlignment="1">
      <alignment horizontal="center" vertical="center" wrapText="1"/>
    </xf>
    <xf numFmtId="49" fontId="8" fillId="21" borderId="13" xfId="0" applyNumberFormat="1" applyFont="1" applyFill="1" applyBorder="1" applyAlignment="1">
      <alignment horizontal="left" vertical="center" wrapText="1"/>
    </xf>
    <xf numFmtId="49" fontId="8" fillId="20" borderId="13" xfId="0" applyNumberFormat="1" applyFont="1" applyFill="1" applyBorder="1" applyAlignment="1">
      <alignment horizontal="left" vertical="center" wrapText="1"/>
    </xf>
    <xf numFmtId="0" fontId="7" fillId="21" borderId="34" xfId="0" applyFont="1" applyFill="1" applyBorder="1" applyAlignment="1">
      <alignment horizontal="center" vertical="center" wrapText="1"/>
    </xf>
    <xf numFmtId="0" fontId="7" fillId="20" borderId="34" xfId="0" applyFont="1" applyFill="1" applyBorder="1" applyAlignment="1">
      <alignment horizontal="center" vertical="center" wrapText="1"/>
    </xf>
    <xf numFmtId="49" fontId="6" fillId="16" borderId="12" xfId="0" applyNumberFormat="1" applyFont="1" applyFill="1" applyBorder="1" applyAlignment="1">
      <alignment horizontal="center" vertical="center" wrapText="1"/>
    </xf>
    <xf numFmtId="49" fontId="17" fillId="19" borderId="30" xfId="0" applyNumberFormat="1" applyFont="1" applyFill="1" applyBorder="1" applyAlignment="1">
      <alignment vertical="center" wrapText="1"/>
    </xf>
    <xf numFmtId="0" fontId="8" fillId="21" borderId="34" xfId="0" applyNumberFormat="1" applyFont="1" applyFill="1" applyBorder="1" applyAlignment="1">
      <alignment horizontal="center" vertical="center" wrapText="1"/>
    </xf>
    <xf numFmtId="0" fontId="8" fillId="20" borderId="13" xfId="0" applyNumberFormat="1" applyFont="1" applyFill="1" applyBorder="1" applyAlignment="1">
      <alignment horizontal="center" vertical="center" wrapText="1"/>
    </xf>
    <xf numFmtId="0" fontId="9" fillId="0" borderId="0" xfId="0" applyNumberFormat="1" applyFont="1"/>
    <xf numFmtId="0" fontId="9" fillId="0" borderId="0" xfId="0" applyFont="1"/>
    <xf numFmtId="49" fontId="32" fillId="6" borderId="20" xfId="0" applyNumberFormat="1" applyFont="1" applyFill="1" applyBorder="1" applyAlignment="1">
      <alignment horizontal="center" vertical="center" wrapText="1"/>
    </xf>
    <xf numFmtId="49" fontId="32" fillId="6" borderId="21" xfId="0" applyNumberFormat="1" applyFont="1" applyFill="1" applyBorder="1" applyAlignment="1">
      <alignment horizontal="center" vertical="center" wrapText="1"/>
    </xf>
    <xf numFmtId="1" fontId="33" fillId="7" borderId="22" xfId="0" applyNumberFormat="1" applyFont="1" applyFill="1" applyBorder="1" applyAlignment="1">
      <alignment horizontal="center" vertical="center" wrapText="1"/>
    </xf>
    <xf numFmtId="49" fontId="33" fillId="7" borderId="22" xfId="0" applyNumberFormat="1" applyFont="1" applyFill="1" applyBorder="1" applyAlignment="1">
      <alignment horizontal="center" vertical="center" wrapText="1"/>
    </xf>
    <xf numFmtId="1" fontId="33" fillId="8" borderId="22" xfId="0" applyNumberFormat="1" applyFont="1" applyFill="1" applyBorder="1" applyAlignment="1">
      <alignment horizontal="center" vertical="center" wrapText="1"/>
    </xf>
    <xf numFmtId="49" fontId="33" fillId="8" borderId="22" xfId="0" applyNumberFormat="1" applyFont="1" applyFill="1" applyBorder="1" applyAlignment="1">
      <alignment horizontal="center" vertical="center" wrapText="1"/>
    </xf>
    <xf numFmtId="1" fontId="33" fillId="9" borderId="22" xfId="0" applyNumberFormat="1" applyFont="1" applyFill="1" applyBorder="1" applyAlignment="1">
      <alignment horizontal="center" vertical="center" wrapText="1"/>
    </xf>
    <xf numFmtId="49" fontId="33" fillId="9" borderId="22" xfId="0" applyNumberFormat="1" applyFont="1" applyFill="1" applyBorder="1" applyAlignment="1">
      <alignment horizontal="center" vertical="center" wrapText="1"/>
    </xf>
    <xf numFmtId="1" fontId="33" fillId="10" borderId="23" xfId="0" applyNumberFormat="1" applyFont="1" applyFill="1" applyBorder="1" applyAlignment="1">
      <alignment horizontal="center" vertical="center" wrapText="1"/>
    </xf>
    <xf numFmtId="49" fontId="33" fillId="10" borderId="23" xfId="0" applyNumberFormat="1" applyFont="1" applyFill="1" applyBorder="1" applyAlignment="1">
      <alignment horizontal="center" vertical="center" wrapText="1"/>
    </xf>
    <xf numFmtId="49" fontId="34" fillId="2" borderId="51" xfId="0" applyNumberFormat="1" applyFont="1" applyFill="1" applyBorder="1" applyAlignment="1">
      <alignment horizontal="left" vertical="center" wrapText="1"/>
    </xf>
    <xf numFmtId="49" fontId="26" fillId="21" borderId="13" xfId="0" applyNumberFormat="1" applyFont="1" applyFill="1" applyBorder="1" applyAlignment="1">
      <alignment horizontal="left" vertical="center" wrapText="1"/>
    </xf>
    <xf numFmtId="49" fontId="21" fillId="20" borderId="13" xfId="0" applyNumberFormat="1" applyFont="1" applyFill="1" applyBorder="1" applyAlignment="1">
      <alignment horizontal="left" vertical="center" wrapText="1"/>
    </xf>
    <xf numFmtId="0" fontId="0" fillId="0" borderId="36" xfId="0" applyFill="1" applyBorder="1"/>
    <xf numFmtId="0" fontId="0" fillId="0" borderId="7" xfId="0" applyFill="1" applyBorder="1"/>
    <xf numFmtId="0" fontId="0" fillId="0" borderId="10" xfId="0" applyFill="1" applyBorder="1"/>
    <xf numFmtId="0" fontId="0" fillId="0" borderId="16" xfId="0" applyFill="1" applyBorder="1"/>
    <xf numFmtId="0" fontId="0" fillId="0" borderId="0" xfId="0" applyNumberFormat="1" applyFill="1"/>
    <xf numFmtId="49" fontId="26" fillId="21" borderId="15" xfId="0" applyNumberFormat="1" applyFont="1" applyFill="1" applyBorder="1" applyAlignment="1">
      <alignment horizontal="center" vertical="center" wrapText="1"/>
    </xf>
    <xf numFmtId="0" fontId="26" fillId="21" borderId="13" xfId="0" applyFont="1" applyFill="1" applyBorder="1" applyAlignment="1">
      <alignment horizontal="center" vertical="center" wrapText="1"/>
    </xf>
    <xf numFmtId="49" fontId="21" fillId="21" borderId="13" xfId="0" applyNumberFormat="1" applyFont="1" applyFill="1" applyBorder="1" applyAlignment="1">
      <alignment horizontal="left" vertical="center" wrapText="1"/>
    </xf>
    <xf numFmtId="49" fontId="26" fillId="20" borderId="15" xfId="0" applyNumberFormat="1" applyFont="1" applyFill="1" applyBorder="1" applyAlignment="1">
      <alignment horizontal="center" vertical="center" wrapText="1"/>
    </xf>
    <xf numFmtId="49" fontId="26" fillId="20" borderId="13" xfId="0" applyNumberFormat="1" applyFont="1" applyFill="1" applyBorder="1" applyAlignment="1">
      <alignment horizontal="left" vertical="center" wrapText="1"/>
    </xf>
    <xf numFmtId="49" fontId="7" fillId="21" borderId="13" xfId="0" applyNumberFormat="1" applyFont="1" applyFill="1" applyBorder="1" applyAlignment="1">
      <alignment horizontal="left" vertical="center" wrapText="1"/>
    </xf>
    <xf numFmtId="49" fontId="7" fillId="20" borderId="13" xfId="0" applyNumberFormat="1" applyFont="1" applyFill="1" applyBorder="1" applyAlignment="1">
      <alignment horizontal="left" vertical="center" wrapText="1"/>
    </xf>
    <xf numFmtId="16" fontId="13" fillId="0" borderId="3" xfId="1" applyNumberFormat="1" applyAlignment="1">
      <alignment vertical="center"/>
    </xf>
    <xf numFmtId="0" fontId="12" fillId="11" borderId="0" xfId="0" applyFont="1" applyFill="1" applyAlignment="1">
      <alignment horizontal="center" vertical="center"/>
    </xf>
    <xf numFmtId="0" fontId="29" fillId="0" borderId="0" xfId="2" applyFont="1" applyAlignment="1">
      <alignment horizontal="center" vertical="center"/>
    </xf>
    <xf numFmtId="0" fontId="13" fillId="0" borderId="0" xfId="0" applyFont="1" applyFill="1" applyAlignment="1">
      <alignment vertical="center"/>
    </xf>
    <xf numFmtId="0" fontId="27" fillId="0" borderId="0" xfId="2" applyFont="1" applyAlignment="1">
      <alignment horizontal="center" vertical="center"/>
    </xf>
    <xf numFmtId="0" fontId="13" fillId="0" borderId="0" xfId="0" applyFont="1" applyFill="1" applyAlignment="1">
      <alignment horizontal="center" vertical="center"/>
    </xf>
    <xf numFmtId="0" fontId="13" fillId="25" borderId="0" xfId="0" applyFont="1" applyFill="1" applyAlignment="1">
      <alignment horizontal="left" vertical="center"/>
    </xf>
    <xf numFmtId="0" fontId="13" fillId="2" borderId="4" xfId="0" applyFont="1" applyFill="1" applyBorder="1"/>
    <xf numFmtId="0" fontId="13" fillId="2" borderId="3" xfId="0" applyFont="1" applyFill="1" applyBorder="1"/>
    <xf numFmtId="0" fontId="13" fillId="2" borderId="9" xfId="0" applyFont="1" applyFill="1" applyBorder="1"/>
    <xf numFmtId="0" fontId="13" fillId="2" borderId="17" xfId="0" applyFont="1" applyFill="1" applyBorder="1"/>
    <xf numFmtId="0" fontId="13" fillId="0" borderId="0" xfId="0" applyNumberFormat="1" applyFont="1"/>
    <xf numFmtId="49" fontId="0" fillId="26" borderId="25" xfId="0" applyNumberFormat="1" applyFill="1" applyBorder="1" applyAlignment="1">
      <alignment vertical="center" wrapText="1"/>
    </xf>
    <xf numFmtId="0" fontId="28" fillId="0" borderId="0" xfId="2" applyAlignment="1">
      <alignment vertical="center"/>
    </xf>
    <xf numFmtId="49" fontId="6" fillId="18" borderId="12" xfId="0" applyNumberFormat="1" applyFont="1" applyFill="1" applyBorder="1" applyAlignment="1">
      <alignment horizontal="center" vertical="center" wrapText="1"/>
    </xf>
    <xf numFmtId="0" fontId="7" fillId="20" borderId="34" xfId="0" applyNumberFormat="1" applyFont="1" applyFill="1" applyBorder="1" applyAlignment="1">
      <alignment horizontal="center" vertical="center" wrapText="1"/>
    </xf>
    <xf numFmtId="0" fontId="7" fillId="20" borderId="13" xfId="0" applyNumberFormat="1" applyFont="1" applyFill="1" applyBorder="1" applyAlignment="1">
      <alignment horizontal="center" vertical="center" wrapText="1"/>
    </xf>
    <xf numFmtId="49" fontId="7" fillId="20" borderId="34" xfId="0" applyNumberFormat="1" applyFont="1" applyFill="1" applyBorder="1" applyAlignment="1">
      <alignment horizontal="center" vertical="center" wrapText="1"/>
    </xf>
    <xf numFmtId="0" fontId="7" fillId="20" borderId="35" xfId="0" applyFont="1" applyFill="1" applyBorder="1" applyAlignment="1">
      <alignment horizontal="center" vertical="center" wrapText="1"/>
    </xf>
    <xf numFmtId="0" fontId="7" fillId="21" borderId="34" xfId="0" applyNumberFormat="1" applyFont="1" applyFill="1" applyBorder="1" applyAlignment="1">
      <alignment horizontal="center" vertical="center" wrapText="1"/>
    </xf>
    <xf numFmtId="49" fontId="7" fillId="21" borderId="34" xfId="0" applyNumberFormat="1" applyFont="1" applyFill="1" applyBorder="1" applyAlignment="1">
      <alignment horizontal="center" vertical="center" wrapText="1"/>
    </xf>
    <xf numFmtId="0" fontId="7" fillId="21" borderId="35" xfId="0" applyFont="1" applyFill="1" applyBorder="1" applyAlignment="1">
      <alignment horizontal="center" vertical="center" wrapText="1"/>
    </xf>
    <xf numFmtId="0" fontId="26" fillId="20" borderId="13" xfId="0" applyNumberFormat="1" applyFont="1" applyFill="1" applyBorder="1" applyAlignment="1">
      <alignment horizontal="center" vertical="center" wrapText="1"/>
    </xf>
    <xf numFmtId="0" fontId="26" fillId="21" borderId="13" xfId="0" applyNumberFormat="1" applyFont="1" applyFill="1" applyBorder="1" applyAlignment="1">
      <alignment horizontal="center" vertical="center" wrapText="1"/>
    </xf>
    <xf numFmtId="0" fontId="37" fillId="27" borderId="0" xfId="0" applyFont="1" applyFill="1" applyAlignment="1">
      <alignment horizontal="center" vertical="center" wrapText="1"/>
    </xf>
    <xf numFmtId="0" fontId="37" fillId="27" borderId="0" xfId="0" applyFont="1" applyFill="1" applyAlignment="1">
      <alignment vertical="center" wrapText="1"/>
    </xf>
    <xf numFmtId="0" fontId="38" fillId="28" borderId="0" xfId="0" applyFont="1" applyFill="1" applyAlignment="1">
      <alignment horizontal="left" vertical="center" wrapText="1"/>
    </xf>
    <xf numFmtId="0" fontId="39" fillId="28" borderId="0" xfId="0" applyFont="1" applyFill="1" applyAlignment="1">
      <alignment vertical="center" wrapText="1"/>
    </xf>
    <xf numFmtId="0" fontId="38" fillId="29" borderId="0" xfId="0" applyFont="1" applyFill="1" applyAlignment="1">
      <alignment horizontal="left" vertical="center" wrapText="1"/>
    </xf>
    <xf numFmtId="0" fontId="39" fillId="29" borderId="0" xfId="0" applyFont="1" applyFill="1" applyAlignment="1">
      <alignment vertical="center" wrapText="1"/>
    </xf>
    <xf numFmtId="0" fontId="0" fillId="28" borderId="0" xfId="0" applyFill="1"/>
    <xf numFmtId="0" fontId="13" fillId="0" borderId="0" xfId="0" applyFont="1"/>
    <xf numFmtId="0" fontId="37" fillId="27" borderId="0" xfId="0" applyFont="1" applyFill="1" applyAlignment="1">
      <alignment horizontal="right" vertical="center" wrapText="1"/>
    </xf>
    <xf numFmtId="0" fontId="0" fillId="0" borderId="0" xfId="0" applyAlignment="1">
      <alignment horizontal="right"/>
    </xf>
    <xf numFmtId="49" fontId="6" fillId="15" borderId="43" xfId="0" applyNumberFormat="1" applyFont="1" applyFill="1" applyBorder="1" applyAlignment="1">
      <alignment horizontal="center" vertical="center" wrapText="1"/>
    </xf>
    <xf numFmtId="0" fontId="0" fillId="0" borderId="0" xfId="0" applyFill="1" applyAlignment="1">
      <alignment horizontal="right"/>
    </xf>
    <xf numFmtId="0" fontId="29" fillId="0" borderId="0" xfId="0" applyFont="1" applyAlignment="1">
      <alignment horizontal="right"/>
    </xf>
    <xf numFmtId="0" fontId="0" fillId="0" borderId="0" xfId="0" applyAlignment="1">
      <alignment horizontal="right" wrapText="1"/>
    </xf>
    <xf numFmtId="0" fontId="0" fillId="0" borderId="0" xfId="0" applyFill="1" applyAlignment="1">
      <alignment horizontal="right" wrapText="1"/>
    </xf>
    <xf numFmtId="0" fontId="0" fillId="14" borderId="0" xfId="0" applyFill="1"/>
    <xf numFmtId="0" fontId="13" fillId="0" borderId="0" xfId="0" applyFont="1" applyAlignment="1">
      <alignment horizontal="right" wrapText="1"/>
    </xf>
    <xf numFmtId="0" fontId="43" fillId="15" borderId="52" xfId="0" applyFont="1" applyFill="1" applyBorder="1" applyAlignment="1">
      <alignment horizontal="center" vertical="center" wrapText="1"/>
    </xf>
    <xf numFmtId="0" fontId="43" fillId="15" borderId="53" xfId="0" applyFont="1" applyFill="1" applyBorder="1" applyAlignment="1">
      <alignment horizontal="center" vertical="center" wrapText="1"/>
    </xf>
    <xf numFmtId="0" fontId="0" fillId="0" borderId="55" xfId="0" applyBorder="1" applyAlignment="1">
      <alignment horizontal="center" vertical="center" wrapText="1"/>
    </xf>
    <xf numFmtId="0" fontId="0" fillId="0" borderId="25" xfId="0" applyBorder="1" applyAlignment="1">
      <alignment horizontal="center" vertical="center" wrapText="1"/>
    </xf>
    <xf numFmtId="0" fontId="0" fillId="0" borderId="0" xfId="0" applyAlignment="1">
      <alignment horizontal="center" vertical="center" wrapText="1"/>
    </xf>
    <xf numFmtId="0" fontId="43" fillId="15" borderId="53" xfId="0" applyFont="1" applyFill="1" applyBorder="1" applyAlignment="1">
      <alignment horizontal="center" vertical="top" wrapText="1"/>
    </xf>
    <xf numFmtId="0" fontId="43" fillId="15" borderId="54" xfId="0" applyFont="1" applyFill="1" applyBorder="1" applyAlignment="1">
      <alignment horizontal="center" vertical="top" wrapText="1"/>
    </xf>
    <xf numFmtId="0" fontId="0" fillId="0" borderId="55" xfId="0" applyBorder="1" applyAlignment="1">
      <alignment horizontal="center" vertical="top" wrapText="1"/>
    </xf>
    <xf numFmtId="0" fontId="0" fillId="0" borderId="55" xfId="0" applyBorder="1" applyAlignment="1">
      <alignment horizontal="left" vertical="top" wrapText="1"/>
    </xf>
    <xf numFmtId="0" fontId="0" fillId="0" borderId="25" xfId="0" applyBorder="1" applyAlignment="1">
      <alignment horizontal="center" vertical="top" wrapText="1"/>
    </xf>
    <xf numFmtId="0" fontId="0" fillId="0" borderId="25" xfId="0" applyBorder="1" applyAlignment="1">
      <alignment horizontal="left" vertical="top" wrapText="1"/>
    </xf>
    <xf numFmtId="0" fontId="0" fillId="0" borderId="0" xfId="0" applyAlignment="1">
      <alignment vertical="top"/>
    </xf>
    <xf numFmtId="49" fontId="4" fillId="3" borderId="25" xfId="0" applyNumberFormat="1" applyFont="1" applyFill="1" applyBorder="1" applyAlignment="1">
      <alignment horizontal="left" vertical="center" wrapText="1"/>
    </xf>
    <xf numFmtId="0" fontId="4" fillId="3" borderId="25" xfId="0" applyFont="1" applyFill="1" applyBorder="1" applyAlignment="1">
      <alignment horizontal="left" vertical="center" wrapText="1"/>
    </xf>
    <xf numFmtId="49" fontId="4" fillId="5" borderId="25" xfId="0" applyNumberFormat="1" applyFont="1" applyFill="1" applyBorder="1" applyAlignment="1">
      <alignment horizontal="left" vertical="center" wrapText="1"/>
    </xf>
    <xf numFmtId="0" fontId="4" fillId="5" borderId="25" xfId="0" applyFont="1" applyFill="1" applyBorder="1" applyAlignment="1">
      <alignment horizontal="left" vertical="center" wrapText="1"/>
    </xf>
    <xf numFmtId="49" fontId="4" fillId="4" borderId="25" xfId="0" applyNumberFormat="1" applyFont="1" applyFill="1" applyBorder="1" applyAlignment="1">
      <alignment horizontal="left" vertical="center" wrapText="1"/>
    </xf>
    <xf numFmtId="0" fontId="4" fillId="4" borderId="25" xfId="0" applyFont="1" applyFill="1" applyBorder="1" applyAlignment="1">
      <alignment horizontal="left" vertical="center" wrapText="1"/>
    </xf>
    <xf numFmtId="49" fontId="2" fillId="2" borderId="1"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49" fontId="17" fillId="19" borderId="50" xfId="0" applyNumberFormat="1" applyFont="1" applyFill="1" applyBorder="1" applyAlignment="1">
      <alignment horizontal="center" vertical="center" wrapText="1"/>
    </xf>
    <xf numFmtId="49" fontId="10" fillId="22" borderId="3" xfId="0" applyNumberFormat="1" applyFont="1" applyFill="1" applyBorder="1" applyAlignment="1">
      <alignment horizontal="center" vertical="center"/>
    </xf>
    <xf numFmtId="49" fontId="20" fillId="15" borderId="44" xfId="0" applyNumberFormat="1" applyFont="1" applyFill="1" applyBorder="1" applyAlignment="1">
      <alignment horizontal="center" vertical="center" wrapText="1"/>
    </xf>
    <xf numFmtId="0" fontId="20" fillId="15" borderId="45" xfId="0" applyFont="1" applyFill="1" applyBorder="1" applyAlignment="1">
      <alignment horizontal="center" vertical="center" wrapText="1"/>
    </xf>
    <xf numFmtId="0" fontId="20" fillId="15" borderId="46" xfId="0" applyFont="1" applyFill="1" applyBorder="1" applyAlignment="1">
      <alignment horizontal="center" vertical="center" wrapText="1"/>
    </xf>
    <xf numFmtId="49" fontId="20" fillId="3" borderId="38" xfId="0" applyNumberFormat="1" applyFont="1" applyFill="1" applyBorder="1" applyAlignment="1">
      <alignment horizontal="center" vertical="center" wrapText="1"/>
    </xf>
    <xf numFmtId="49" fontId="20" fillId="3" borderId="24" xfId="0" applyNumberFormat="1" applyFont="1" applyFill="1" applyBorder="1" applyAlignment="1">
      <alignment horizontal="center" vertical="center" wrapText="1"/>
    </xf>
    <xf numFmtId="0" fontId="20" fillId="3" borderId="24" xfId="0" applyFont="1" applyFill="1" applyBorder="1" applyAlignment="1">
      <alignment horizontal="center" vertical="center" wrapText="1"/>
    </xf>
    <xf numFmtId="0" fontId="20" fillId="3" borderId="39" xfId="0" applyFont="1" applyFill="1" applyBorder="1" applyAlignment="1">
      <alignment horizontal="center" vertical="center" wrapText="1"/>
    </xf>
    <xf numFmtId="49" fontId="20" fillId="14" borderId="42" xfId="0" applyNumberFormat="1" applyFont="1" applyFill="1" applyBorder="1" applyAlignment="1">
      <alignment horizontal="center" vertical="center" wrapText="1"/>
    </xf>
    <xf numFmtId="0" fontId="20" fillId="14" borderId="24" xfId="0" applyFont="1" applyFill="1" applyBorder="1" applyAlignment="1">
      <alignment horizontal="center" vertical="center" wrapText="1"/>
    </xf>
    <xf numFmtId="0" fontId="20" fillId="14" borderId="39" xfId="0" applyFont="1" applyFill="1" applyBorder="1" applyAlignment="1">
      <alignment horizontal="center" vertical="center" wrapText="1"/>
    </xf>
    <xf numFmtId="0" fontId="19" fillId="19" borderId="3" xfId="0" applyFont="1" applyFill="1" applyBorder="1" applyAlignment="1">
      <alignment horizontal="center" vertical="center"/>
    </xf>
    <xf numFmtId="0" fontId="19" fillId="19" borderId="6" xfId="0" applyFont="1" applyFill="1" applyBorder="1" applyAlignment="1">
      <alignment horizontal="center" vertical="center"/>
    </xf>
    <xf numFmtId="0" fontId="17" fillId="19" borderId="50" xfId="0" applyFont="1" applyFill="1" applyBorder="1" applyAlignment="1">
      <alignment horizontal="center" vertical="center" wrapText="1"/>
    </xf>
    <xf numFmtId="49" fontId="17" fillId="19" borderId="11" xfId="0" applyNumberFormat="1" applyFont="1" applyFill="1" applyBorder="1" applyAlignment="1">
      <alignment horizontal="center" vertical="center" wrapText="1"/>
    </xf>
    <xf numFmtId="0" fontId="17" fillId="19" borderId="11" xfId="0" applyFont="1" applyFill="1" applyBorder="1" applyAlignment="1">
      <alignment horizontal="center" vertical="center" wrapText="1"/>
    </xf>
    <xf numFmtId="0" fontId="10" fillId="24" borderId="0" xfId="0" applyFont="1" applyFill="1" applyAlignment="1">
      <alignment horizontal="center"/>
    </xf>
    <xf numFmtId="0" fontId="12" fillId="23" borderId="3" xfId="1" applyFont="1" applyFill="1" applyAlignment="1">
      <alignment horizontal="center" vertical="center"/>
    </xf>
    <xf numFmtId="0" fontId="25" fillId="23" borderId="47" xfId="1" applyFont="1" applyFill="1" applyBorder="1" applyAlignment="1">
      <alignment horizontal="center" vertical="center" wrapText="1"/>
    </xf>
    <xf numFmtId="0" fontId="25" fillId="23" borderId="48" xfId="1" applyFont="1" applyFill="1" applyBorder="1" applyAlignment="1">
      <alignment horizontal="center" vertical="center" wrapText="1"/>
    </xf>
    <xf numFmtId="0" fontId="25" fillId="23" borderId="49" xfId="1" applyFont="1" applyFill="1" applyBorder="1" applyAlignment="1">
      <alignment horizontal="center" vertical="center" wrapText="1"/>
    </xf>
    <xf numFmtId="49" fontId="31" fillId="2" borderId="19" xfId="0" applyNumberFormat="1" applyFont="1" applyFill="1" applyBorder="1" applyAlignment="1">
      <alignment horizontal="left" vertical="center" wrapText="1"/>
    </xf>
    <xf numFmtId="49" fontId="31" fillId="2" borderId="8" xfId="0" applyNumberFormat="1" applyFont="1" applyFill="1" applyBorder="1" applyAlignment="1">
      <alignment horizontal="left" vertical="center" wrapText="1"/>
    </xf>
  </cellXfs>
  <cellStyles count="6">
    <cellStyle name="Lien hypertexte" xfId="2" builtinId="8"/>
    <cellStyle name="Lien hypertexte 2" xfId="5" xr:uid="{D2A91D61-14BF-46F8-8B47-E86EFFFF5A0F}"/>
    <cellStyle name="Normal" xfId="0" builtinId="0"/>
    <cellStyle name="Normal 2" xfId="1" xr:uid="{00000000-0005-0000-0000-000002000000}"/>
    <cellStyle name="Normal 3" xfId="3" xr:uid="{8D95AA04-4E64-468B-973B-53286FEE1A96}"/>
    <cellStyle name="Normal 4" xfId="4" xr:uid="{8B477B89-7796-4A54-BA4A-DF34737EC77B}"/>
  </cellStyles>
  <dxfs count="1706">
    <dxf>
      <alignment vertical="center" textRotation="0" justifyLastLine="0" shrinkToFit="0" readingOrder="0"/>
    </dxf>
    <dxf>
      <font>
        <b val="0"/>
        <i val="0"/>
        <strike val="0"/>
        <condense val="0"/>
        <extend val="0"/>
        <outline val="0"/>
        <shadow val="0"/>
        <u val="none"/>
        <vertAlign val="baseline"/>
        <sz val="10"/>
        <color indexed="8"/>
        <name val="Arial"/>
        <scheme val="none"/>
      </font>
      <alignment horizontal="general" vertical="center" textRotation="0" wrapText="1" indent="0" justifyLastLine="0" shrinkToFit="0" readingOrder="0"/>
    </dxf>
    <dxf>
      <alignment vertical="center" textRotation="0" justifyLastLine="0" shrinkToFit="0" readingOrder="0"/>
    </dxf>
    <dxf>
      <alignment vertical="center" textRotation="0" justifyLastLine="0" shrinkToFit="0" readingOrder="0"/>
    </dxf>
    <dxf>
      <alignment vertical="center" textRotation="0" wrapText="1" indent="0" justifyLastLine="0" shrinkToFit="0" readingOrder="0"/>
    </dxf>
    <dxf>
      <alignment vertical="center" textRotation="0" justifyLastLine="0" shrinkToFit="0" readingOrder="0"/>
    </dxf>
    <dxf>
      <alignment vertical="center" textRotation="0" justifyLastLine="0" shrinkToFit="0" readingOrder="0"/>
    </dxf>
    <dxf>
      <alignment vertical="center" textRotation="0" justifyLastLine="0" shrinkToFit="0" readingOrder="0"/>
    </dxf>
    <dxf>
      <alignment vertical="center" textRotation="0" justifyLastLine="0" shrinkToFit="0" readingOrder="0"/>
    </dxf>
    <dxf>
      <alignment vertical="center" textRotation="0" justifyLastLine="0" shrinkToFit="0" readingOrder="0"/>
    </dxf>
    <dxf>
      <alignment vertical="center" textRotation="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indexed="8"/>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0"/>
        <color indexed="8"/>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0"/>
        <color indexed="8"/>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0"/>
        <color indexed="8"/>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0"/>
        <color indexed="8"/>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0"/>
        <color indexed="8"/>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0"/>
        <color indexed="8"/>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0"/>
        <color indexed="8"/>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0"/>
        <color indexed="8"/>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0"/>
        <color indexed="8"/>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0"/>
        <color indexed="8"/>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0"/>
        <color indexed="8"/>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0"/>
        <color indexed="8"/>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0"/>
        <color indexed="8"/>
        <name val="Arial"/>
        <scheme val="none"/>
      </font>
      <alignment horizontal="general" vertical="center" textRotation="0" wrapText="1" indent="0" justifyLastLine="0" shrinkToFit="0" readingOrder="0"/>
    </dxf>
    <dxf>
      <alignment horizontal="left" vertical="center" textRotation="0" wrapText="0" indent="0" justifyLastLine="0" shrinkToFit="0" readingOrder="0"/>
    </dxf>
    <dxf>
      <alignment vertical="center" textRotation="0" wrapText="0" justifyLastLine="0" shrinkToFit="0" readingOrder="0"/>
    </dxf>
    <dxf>
      <alignment vertical="center" textRotation="0" wrapText="0" justifyLastLine="0" shrinkToFit="0" readingOrder="0"/>
    </dxf>
    <dxf>
      <alignment vertical="center" textRotation="0" wrapText="0" indent="0" justifyLastLine="0" shrinkToFit="0" readingOrder="0"/>
    </dxf>
    <dxf>
      <alignment vertical="center" textRotation="0" wrapText="0" justifyLastLine="0" shrinkToFit="0" readingOrder="0"/>
    </dxf>
    <dxf>
      <alignment vertical="center" textRotation="0" wrapText="0" justifyLastLine="0" shrinkToFit="0" readingOrder="0"/>
    </dxf>
    <dxf>
      <alignment vertical="center" textRotation="0" wrapText="0" justifyLastLine="0" shrinkToFit="0" readingOrder="0"/>
    </dxf>
    <dxf>
      <alignment vertical="center" textRotation="0" wrapText="0" justifyLastLine="0" shrinkToFit="0" readingOrder="0"/>
    </dxf>
    <dxf>
      <alignment vertical="center" textRotation="0" wrapText="0" justifyLastLine="0" shrinkToFit="0" readingOrder="0"/>
    </dxf>
    <dxf>
      <alignment vertical="center" textRotation="0" wrapText="0" justifyLastLine="0" shrinkToFit="0" readingOrder="0"/>
    </dxf>
    <dxf>
      <alignment vertical="center" textRotation="0" wrapText="0" justifyLastLine="0" shrinkToFit="0" readingOrder="0"/>
    </dxf>
    <dxf>
      <alignment horizontal="center" vertical="center" textRotation="0" wrapText="0" indent="0" justifyLastLine="0" shrinkToFit="0" readingOrder="0"/>
    </dxf>
    <dxf>
      <alignment vertical="center" textRotation="0" wrapText="0" justifyLastLine="0" shrinkToFit="0" readingOrder="0"/>
    </dxf>
    <dxf>
      <alignment vertical="center" textRotation="0" wrapText="0" justifyLastLine="0" shrinkToFit="0" readingOrder="0"/>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
      <font>
        <i/>
        <color rgb="FF000000"/>
      </font>
    </dxf>
  </dxfs>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00477F"/>
      <rgbColor rgb="FFA0A5AB"/>
      <rgbColor rgb="FF6B6E72"/>
      <rgbColor rgb="FF9CB9D8"/>
      <rgbColor rgb="FFDEDEDE"/>
      <rgbColor rgb="FF00B050"/>
      <rgbColor rgb="FF7F7F7F"/>
      <rgbColor rgb="FFB00058"/>
      <rgbColor rgb="FFD7E2EF"/>
      <rgbColor rgb="FFFF0000"/>
      <rgbColor rgb="FFEBF0F7"/>
      <rgbColor rgb="FF758AA2"/>
      <rgbColor rgb="FF391909"/>
      <rgbColor rgb="FF303030"/>
      <rgbColor rgb="FF77CD55"/>
      <rgbColor rgb="FF5F5F5F"/>
      <rgbColor rgb="FFFFFF00"/>
      <rgbColor rgb="FFF7BE2F"/>
      <rgbColor rgb="FFCC000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477F"/>
      <color rgb="FF800900"/>
      <color rgb="FFFF7C80"/>
      <color rgb="FF008080"/>
      <color rgb="FFF8E8F0"/>
      <color rgb="FF993366"/>
      <color rgb="FFDE9ABC"/>
      <color rgb="FFFF3399"/>
      <color rgb="FFEADC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Christophe VIOT" id="{56377ED9-F091-4154-A8F8-660FB537ED4B}" userId="S::c.viot@groupe-creative.fr::cc02731a-145e-4e10-af46-afb152b4c5c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au3" displayName="Tableau3" ref="A4:L24" totalsRowShown="0" headerRowDxfId="39" dataDxfId="38">
  <autoFilter ref="A4:L24" xr:uid="{00000000-0009-0000-0100-000003000000}"/>
  <tableColumns count="12">
    <tableColumn id="1" xr3:uid="{00000000-0010-0000-0100-000001000000}" name="Sous-traitant" dataDxfId="37"/>
    <tableColumn id="2" xr3:uid="{00000000-0010-0000-0100-000002000000}" name="Coordonnées" dataDxfId="36"/>
    <tableColumn id="3" xr3:uid="{00000000-0010-0000-0100-000003000000}" name="Contact" dataDxfId="35"/>
    <tableColumn id="7" xr3:uid="{825B9B64-BF59-4957-B30E-85AB7AC50E60}" name="Rôle du contact" dataDxfId="34"/>
    <tableColumn id="12" xr3:uid="{BAE6B2D0-A695-4962-91D7-46244913287E}" name="Adresse mail" dataDxfId="33"/>
    <tableColumn id="11" xr3:uid="{C57CFB12-4C8F-4CB7-9832-D0C1026D4AF7}" name="Téléphone" dataDxfId="32"/>
    <tableColumn id="10" xr3:uid="{00000000-0010-0000-0100-00000A000000}" name="Prestation fournie" dataDxfId="31"/>
    <tableColumn id="4" xr3:uid="{00000000-0010-0000-0100-000004000000}" name="Traitement effectué" dataDxfId="30"/>
    <tableColumn id="9" xr3:uid="{00000000-0010-0000-0100-000009000000}" name="Données traitées" dataDxfId="29"/>
    <tableColumn id="5" xr3:uid="{00000000-0010-0000-0100-000005000000}" name="Contrat associé" dataDxfId="28"/>
    <tableColumn id="6" xr3:uid="{00000000-0010-0000-0100-000006000000}" name="Référence et date du contrat" dataDxfId="27"/>
    <tableColumn id="8" xr3:uid="{00000000-0010-0000-0100-000008000000}" name="Commentaires" dataDxfId="2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3:L15" totalsRowShown="0" headerRowDxfId="25" dataDxfId="24">
  <autoFilter ref="A3:L15" xr:uid="{00000000-0009-0000-0100-000001000000}"/>
  <tableColumns count="12">
    <tableColumn id="1" xr3:uid="{00000000-0010-0000-0000-000001000000}" name="Date" dataDxfId="23"/>
    <tableColumn id="2" xr3:uid="{00000000-0010-0000-0000-000002000000}" name="Nature de la violation de DCP" dataDxfId="22"/>
    <tableColumn id="3" xr3:uid="{00000000-0010-0000-0000-000003000000}" name="DCP concernées" dataDxfId="21"/>
    <tableColumn id="4" xr3:uid="{00000000-0010-0000-0000-000004000000}" name="Nombre approximatif de données concernées" dataDxfId="20"/>
    <tableColumn id="5" xr3:uid="{00000000-0010-0000-0000-000005000000}" name="Catégrories de personnes concernées" dataDxfId="19"/>
    <tableColumn id="6" xr3:uid="{00000000-0010-0000-0000-000006000000}" name="Nombre de personnes concernées" dataDxfId="18"/>
    <tableColumn id="7" xr3:uid="{00000000-0010-0000-0000-000007000000}" name="Conséquences" dataDxfId="17"/>
    <tableColumn id="8" xr3:uid="{00000000-0010-0000-0000-000008000000}" name="Mesures prises / prévues" dataDxfId="16"/>
    <tableColumn id="9" xr3:uid="{00000000-0010-0000-0000-000009000000}" name="Information CNIL (qui, date, …)" dataDxfId="15"/>
    <tableColumn id="10" xr3:uid="{00000000-0010-0000-0000-00000A000000}" name="Risque élevé pour les droits et libertés de la/les personne(s) concernée(s) ?" dataDxfId="14"/>
    <tableColumn id="11" xr3:uid="{00000000-0010-0000-0000-00000B000000}" name="Si oui, communication aux personnes effectuée ? + date" dataDxfId="13"/>
    <tableColumn id="12" xr3:uid="{00000000-0010-0000-0000-00000C000000}" name="Commentaires" dataDxfId="12"/>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au33" displayName="Tableau33" ref="A4:J16" totalsRowShown="0" headerRowDxfId="11" dataDxfId="10">
  <autoFilter ref="A4:J16" xr:uid="{00000000-0009-0000-0100-000002000000}"/>
  <tableColumns count="10">
    <tableColumn id="1" xr3:uid="{00000000-0010-0000-0200-000001000000}" name="Type de demande" dataDxfId="9"/>
    <tableColumn id="2" xr3:uid="{00000000-0010-0000-0200-000002000000}" name="Description synthétique de la demande" dataDxfId="8"/>
    <tableColumn id="3" xr3:uid="{00000000-0010-0000-0200-000003000000}" name="Origine de la demande" dataDxfId="7"/>
    <tableColumn id="10" xr3:uid="{00000000-0010-0000-0200-00000A000000}" name="Date de réception de la demande" dataDxfId="6"/>
    <tableColumn id="4" xr3:uid="{00000000-0010-0000-0200-000004000000}" name="Services et traitement concernés par la demande" dataDxfId="5"/>
    <tableColumn id="9" xr3:uid="{00000000-0010-0000-0200-000009000000}" name="Détail de traitement de la demande" dataDxfId="4"/>
    <tableColumn id="5" xr3:uid="{00000000-0010-0000-0200-000005000000}" name="Services impliqués dans le traitement de la demande" dataDxfId="3"/>
    <tableColumn id="6" xr3:uid="{00000000-0010-0000-0200-000006000000}" name="Réponse à la demande" dataDxfId="2"/>
    <tableColumn id="7" xr3:uid="{00000000-0010-0000-0200-000007000000}" name="Alerte du RT" dataDxfId="1"/>
    <tableColumn id="8" xr3:uid="{00000000-0010-0000-0200-000008000000}" name="Statut de la demande" dataDxfId="0"/>
  </tableColumns>
  <tableStyleInfo name="TableStyleLight10" showFirstColumn="0" showLastColumn="0" showRowStripes="1" showColumnStripes="0"/>
</table>
</file>

<file path=xl/theme/theme1.xml><?xml version="1.0" encoding="utf-8"?>
<a:theme xmlns:a="http://schemas.openxmlformats.org/drawingml/2006/main" name="solucom">
  <a:themeElements>
    <a:clrScheme name="solucom">
      <a:dk1>
        <a:srgbClr val="000000"/>
      </a:dk1>
      <a:lt1>
        <a:srgbClr val="FFFFFF"/>
      </a:lt1>
      <a:dk2>
        <a:srgbClr val="A7A7A7"/>
      </a:dk2>
      <a:lt2>
        <a:srgbClr val="535353"/>
      </a:lt2>
      <a:accent1>
        <a:srgbClr val="9CB9D8"/>
      </a:accent1>
      <a:accent2>
        <a:srgbClr val="C79DA4"/>
      </a:accent2>
      <a:accent3>
        <a:srgbClr val="C0C0C0"/>
      </a:accent3>
      <a:accent4>
        <a:srgbClr val="C8E0A2"/>
      </a:accent4>
      <a:accent5>
        <a:srgbClr val="F4CA92"/>
      </a:accent5>
      <a:accent6>
        <a:srgbClr val="D6DCE4"/>
      </a:accent6>
      <a:hlink>
        <a:srgbClr val="0000FF"/>
      </a:hlink>
      <a:folHlink>
        <a:srgbClr val="FF00FF"/>
      </a:folHlink>
    </a:clrScheme>
    <a:fontScheme name="solucom">
      <a:majorFont>
        <a:latin typeface="Helvetica Neue"/>
        <a:ea typeface="Helvetica Neue"/>
        <a:cs typeface="Helvetica Neue"/>
      </a:majorFont>
      <a:minorFont>
        <a:latin typeface="Helvetica Neue"/>
        <a:ea typeface="Helvetica Neue"/>
        <a:cs typeface="Helvetica Neue"/>
      </a:minorFont>
    </a:fontScheme>
    <a:fmtScheme name="solucom">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5F5F5F"/>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5F5F5F"/>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W6" dT="2021-02-16T13:21:07.32" personId="{56377ED9-F091-4154-A8F8-660FB537ED4B}" id="{61FC3DF8-A043-49AA-9E7A-0899DF0A0476}">
    <text>Se référer aux listes d'analyse d'impact sur la protection des données (aipd) de la CNIL : liste-traitements-aipd-non-requise.pdf &amp; liste-traitements-avec-aipd-requise-v2.pdf</text>
  </threadedComment>
</ThreadedComments>
</file>

<file path=xl/threadedComments/threadedComment2.xml><?xml version="1.0" encoding="utf-8"?>
<ThreadedComments xmlns="http://schemas.microsoft.com/office/spreadsheetml/2018/threadedcomments" xmlns:x="http://schemas.openxmlformats.org/spreadsheetml/2006/main">
  <threadedComment ref="A25" dT="2021-02-16T13:21:07.32" personId="{56377ED9-F091-4154-A8F8-660FB537ED4B}" id="{ACAF8B08-86EA-46FB-AC6E-60C17844C392}">
    <text>Se référer aux listes d'analyse d'impact sur la protection des données (aipd) de la CNIL : liste-traitements-aipd-non-requise.pdf &amp; liste-traitements-avec-aipd-requise-v2.pdf</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rcclwestorage02.blob.core.windows.net/249738a3-22e4-11e5-a22b-000d3a2060c7/legal/7a8aa8d65c044a17ad76ec437cd71bb5.pdf?sv=2025-05-05&amp;se=9999-12-31T23%3A59%3A59Z&amp;sr=b&amp;sp=r&amp;sig=LQYi13Qp7SMHGPi%2FgMrdeO6pug20Jg4WuoeJXoQbShE%3D" TargetMode="External"/><Relationship Id="rId7" Type="http://schemas.openxmlformats.org/officeDocument/2006/relationships/table" Target="../tables/table1.xml"/><Relationship Id="rId2" Type="http://schemas.openxmlformats.org/officeDocument/2006/relationships/hyperlink" Target="mailto:contact@raoul-tsh.fr" TargetMode="External"/><Relationship Id="rId1" Type="http://schemas.openxmlformats.org/officeDocument/2006/relationships/hyperlink" Target="mailto:contact@qualineo.com" TargetMode="External"/><Relationship Id="rId6" Type="http://schemas.openxmlformats.org/officeDocument/2006/relationships/printerSettings" Target="../printerSettings/printerSettings4.bin"/><Relationship Id="rId5" Type="http://schemas.openxmlformats.org/officeDocument/2006/relationships/hyperlink" Target="mailto:direction@adrienalarme.com" TargetMode="External"/><Relationship Id="rId4" Type="http://schemas.openxmlformats.org/officeDocument/2006/relationships/hyperlink" Target="file:///\\srv-arc2.domaine.local\Affaires\LA%20BRETECHE%20RGPD\10_DPO%20externalis&#195;&#169;%202025\Courrier%20abon%20RISCO%20cloud.pdf"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IV76"/>
  <sheetViews>
    <sheetView showGridLines="0" zoomScale="115" zoomScaleNormal="115" workbookViewId="0">
      <selection activeCell="F53" sqref="F53"/>
    </sheetView>
  </sheetViews>
  <sheetFormatPr defaultColWidth="11.42578125" defaultRowHeight="12.75" customHeight="1"/>
  <cols>
    <col min="1" max="1" width="2.7109375" style="17" customWidth="1"/>
    <col min="2" max="2" width="49.85546875" style="17" customWidth="1"/>
    <col min="3" max="3" width="115.140625" style="17" customWidth="1"/>
    <col min="4" max="5" width="11.42578125" style="19" customWidth="1"/>
    <col min="6" max="6" width="110.7109375" style="19" bestFit="1" customWidth="1"/>
    <col min="7" max="256" width="11.42578125" style="1" customWidth="1"/>
  </cols>
  <sheetData>
    <row r="1" spans="1:5" ht="13.5" customHeight="1">
      <c r="A1" s="22"/>
      <c r="B1" s="20"/>
      <c r="C1" s="15"/>
      <c r="D1" s="18"/>
      <c r="E1" s="18"/>
    </row>
    <row r="2" spans="1:5" ht="36" customHeight="1">
      <c r="A2" s="22"/>
      <c r="B2" s="176" t="s">
        <v>0</v>
      </c>
      <c r="C2" s="177"/>
      <c r="D2" s="18"/>
      <c r="E2" s="18"/>
    </row>
    <row r="3" spans="1:5" ht="9" customHeight="1">
      <c r="A3" s="22"/>
      <c r="B3" s="21"/>
      <c r="C3" s="16"/>
      <c r="D3" s="18"/>
      <c r="E3" s="18"/>
    </row>
    <row r="4" spans="1:5" ht="15.75" customHeight="1">
      <c r="A4" s="22"/>
      <c r="B4" s="170" t="s">
        <v>1</v>
      </c>
      <c r="C4" s="171"/>
      <c r="D4" s="18"/>
      <c r="E4" s="18"/>
    </row>
    <row r="5" spans="1:5" ht="13.7" customHeight="1">
      <c r="A5" s="22"/>
      <c r="B5" s="25" t="s">
        <v>2</v>
      </c>
      <c r="C5" s="25" t="s">
        <v>3</v>
      </c>
      <c r="D5" s="18"/>
      <c r="E5" s="18"/>
    </row>
    <row r="6" spans="1:5" ht="13.7" customHeight="1">
      <c r="A6" s="22"/>
      <c r="B6" s="25" t="s">
        <v>4</v>
      </c>
      <c r="C6" s="25" t="s">
        <v>5</v>
      </c>
      <c r="D6" s="18"/>
      <c r="E6" s="18"/>
    </row>
    <row r="7" spans="1:5" ht="13.7" customHeight="1">
      <c r="A7" s="22"/>
      <c r="B7" s="25" t="s">
        <v>6</v>
      </c>
      <c r="C7" s="25" t="s">
        <v>7</v>
      </c>
      <c r="D7" s="18"/>
      <c r="E7" s="18"/>
    </row>
    <row r="8" spans="1:5" ht="13.7" customHeight="1">
      <c r="A8" s="22"/>
      <c r="B8" s="25" t="s">
        <v>8</v>
      </c>
      <c r="C8" s="25" t="s">
        <v>9</v>
      </c>
      <c r="D8" s="18"/>
      <c r="E8" s="18"/>
    </row>
    <row r="9" spans="1:5" ht="13.7" customHeight="1">
      <c r="A9" s="22"/>
      <c r="B9" s="25" t="s">
        <v>10</v>
      </c>
      <c r="C9" s="25" t="s">
        <v>11</v>
      </c>
      <c r="D9" s="18"/>
      <c r="E9" s="18"/>
    </row>
    <row r="10" spans="1:5" ht="27" customHeight="1">
      <c r="A10" s="22"/>
      <c r="B10" s="25" t="s">
        <v>12</v>
      </c>
      <c r="C10" s="25" t="s">
        <v>13</v>
      </c>
      <c r="D10" s="18"/>
      <c r="E10" s="18"/>
    </row>
    <row r="11" spans="1:5" ht="13.7" customHeight="1">
      <c r="A11" s="22"/>
      <c r="B11" s="25" t="s">
        <v>14</v>
      </c>
      <c r="C11" s="25" t="s">
        <v>15</v>
      </c>
      <c r="D11" s="18"/>
      <c r="E11" s="18"/>
    </row>
    <row r="12" spans="1:5" ht="25.5" customHeight="1">
      <c r="A12" s="22"/>
      <c r="B12" s="25" t="s">
        <v>16</v>
      </c>
      <c r="C12" s="25" t="s">
        <v>17</v>
      </c>
      <c r="D12" s="18"/>
      <c r="E12" s="18"/>
    </row>
    <row r="13" spans="1:5" ht="25.5" customHeight="1">
      <c r="A13" s="22"/>
      <c r="B13" s="25" t="s">
        <v>18</v>
      </c>
      <c r="C13" s="25" t="s">
        <v>19</v>
      </c>
      <c r="D13" s="18"/>
      <c r="E13" s="18"/>
    </row>
    <row r="14" spans="1:5" ht="13.7" customHeight="1">
      <c r="A14" s="22"/>
      <c r="B14" s="25" t="s">
        <v>20</v>
      </c>
      <c r="C14" s="25" t="s">
        <v>21</v>
      </c>
      <c r="D14" s="18"/>
      <c r="E14" s="18"/>
    </row>
    <row r="15" spans="1:5" ht="13.7" customHeight="1">
      <c r="A15" s="22"/>
      <c r="B15" s="25" t="s">
        <v>22</v>
      </c>
      <c r="C15" s="25" t="s">
        <v>23</v>
      </c>
      <c r="D15" s="18"/>
      <c r="E15" s="18"/>
    </row>
    <row r="16" spans="1:5" ht="13.7" customHeight="1">
      <c r="A16" s="22"/>
      <c r="B16" s="25" t="s">
        <v>24</v>
      </c>
      <c r="C16" s="25" t="s">
        <v>25</v>
      </c>
      <c r="D16" s="18"/>
      <c r="E16" s="18"/>
    </row>
    <row r="17" spans="1:5" ht="9.75" customHeight="1">
      <c r="A17" s="22"/>
      <c r="B17" s="23"/>
      <c r="C17" s="24"/>
      <c r="D17" s="18"/>
      <c r="E17" s="18"/>
    </row>
    <row r="18" spans="1:5" ht="15.75" customHeight="1">
      <c r="A18" s="22"/>
      <c r="B18" s="174" t="s">
        <v>26</v>
      </c>
      <c r="C18" s="175"/>
      <c r="D18" s="18"/>
      <c r="E18" s="18"/>
    </row>
    <row r="19" spans="1:5" ht="14.25" customHeight="1">
      <c r="A19" s="22"/>
      <c r="B19" s="25" t="s">
        <v>27</v>
      </c>
      <c r="C19" s="25" t="s">
        <v>28</v>
      </c>
      <c r="D19" s="18"/>
      <c r="E19" s="18"/>
    </row>
    <row r="20" spans="1:5" ht="14.25" customHeight="1">
      <c r="A20" s="22"/>
      <c r="B20" s="25" t="s">
        <v>29</v>
      </c>
      <c r="C20" s="25" t="s">
        <v>30</v>
      </c>
      <c r="D20" s="18"/>
      <c r="E20" s="18"/>
    </row>
    <row r="21" spans="1:5" ht="13.7" customHeight="1">
      <c r="A21" s="22"/>
      <c r="B21" s="25" t="s">
        <v>31</v>
      </c>
      <c r="C21" s="25" t="s">
        <v>32</v>
      </c>
      <c r="D21" s="18"/>
      <c r="E21" s="18"/>
    </row>
    <row r="22" spans="1:5" ht="13.7" customHeight="1">
      <c r="A22" s="22"/>
      <c r="B22" s="25" t="s">
        <v>33</v>
      </c>
      <c r="C22" s="25" t="s">
        <v>34</v>
      </c>
      <c r="D22" s="18"/>
      <c r="E22" s="18"/>
    </row>
    <row r="23" spans="1:5" ht="13.7" customHeight="1">
      <c r="A23" s="22"/>
      <c r="B23" s="25" t="s">
        <v>35</v>
      </c>
      <c r="C23" s="25" t="s">
        <v>36</v>
      </c>
      <c r="D23" s="18"/>
      <c r="E23" s="18"/>
    </row>
    <row r="24" spans="1:5" ht="13.7" customHeight="1">
      <c r="A24" s="22"/>
      <c r="B24" s="25" t="s">
        <v>37</v>
      </c>
      <c r="C24" s="25" t="s">
        <v>38</v>
      </c>
      <c r="D24" s="18"/>
      <c r="E24" s="18"/>
    </row>
    <row r="25" spans="1:5" ht="13.7" customHeight="1">
      <c r="A25" s="22"/>
      <c r="B25" s="25" t="s">
        <v>39</v>
      </c>
      <c r="C25" s="25" t="s">
        <v>40</v>
      </c>
      <c r="D25" s="18"/>
      <c r="E25" s="18"/>
    </row>
    <row r="26" spans="1:5" ht="38.25" customHeight="1">
      <c r="A26" s="22"/>
      <c r="B26" s="25" t="s">
        <v>41</v>
      </c>
      <c r="C26" s="25" t="s">
        <v>42</v>
      </c>
      <c r="D26" s="18"/>
      <c r="E26" s="18"/>
    </row>
    <row r="27" spans="1:5" ht="9.75" customHeight="1">
      <c r="A27" s="22"/>
      <c r="B27" s="23"/>
      <c r="C27" s="24"/>
      <c r="D27" s="18"/>
      <c r="E27" s="18"/>
    </row>
    <row r="28" spans="1:5" ht="15.75" customHeight="1">
      <c r="A28" s="22"/>
      <c r="B28" s="172" t="s">
        <v>43</v>
      </c>
      <c r="C28" s="173"/>
      <c r="D28" s="18"/>
      <c r="E28" s="18"/>
    </row>
    <row r="29" spans="1:5" ht="13.7" customHeight="1">
      <c r="A29" s="22"/>
      <c r="B29" s="25" t="s">
        <v>44</v>
      </c>
      <c r="C29" s="25" t="s">
        <v>45</v>
      </c>
      <c r="D29" s="18"/>
      <c r="E29" s="18"/>
    </row>
    <row r="30" spans="1:5" ht="38.25" customHeight="1">
      <c r="A30" s="22"/>
      <c r="B30" s="25" t="s">
        <v>46</v>
      </c>
      <c r="C30" s="25" t="s">
        <v>47</v>
      </c>
      <c r="D30" s="18"/>
      <c r="E30" s="18"/>
    </row>
    <row r="31" spans="1:5" ht="38.25" customHeight="1">
      <c r="A31" s="22"/>
      <c r="B31" s="25" t="s">
        <v>48</v>
      </c>
      <c r="C31" s="25" t="s">
        <v>49</v>
      </c>
      <c r="D31" s="18"/>
      <c r="E31" s="18"/>
    </row>
    <row r="32" spans="1:5" ht="25.5" customHeight="1">
      <c r="A32" s="22"/>
      <c r="B32" s="25" t="s">
        <v>50</v>
      </c>
      <c r="C32" s="25" t="s">
        <v>51</v>
      </c>
      <c r="D32" s="18"/>
      <c r="E32" s="18"/>
    </row>
    <row r="33" spans="1:5" ht="38.25" customHeight="1">
      <c r="A33" s="22"/>
      <c r="B33" s="25" t="s">
        <v>52</v>
      </c>
      <c r="C33" s="25" t="s">
        <v>53</v>
      </c>
      <c r="D33" s="18"/>
      <c r="E33" s="18"/>
    </row>
    <row r="34" spans="1:5" ht="25.5" customHeight="1">
      <c r="A34" s="22"/>
      <c r="B34" s="25" t="s">
        <v>54</v>
      </c>
      <c r="C34" s="25" t="s">
        <v>55</v>
      </c>
      <c r="D34" s="18"/>
      <c r="E34" s="18"/>
    </row>
    <row r="35" spans="1:5" ht="25.5" customHeight="1">
      <c r="A35" s="22"/>
      <c r="B35" s="25" t="s">
        <v>56</v>
      </c>
      <c r="C35" s="25" t="s">
        <v>57</v>
      </c>
      <c r="D35" s="18"/>
      <c r="E35" s="18"/>
    </row>
    <row r="36" spans="1:5" ht="13.7" customHeight="1">
      <c r="A36" s="22"/>
      <c r="B36" s="25" t="s">
        <v>58</v>
      </c>
      <c r="C36" s="25" t="s">
        <v>59</v>
      </c>
      <c r="D36" s="18"/>
      <c r="E36" s="18"/>
    </row>
    <row r="37" spans="1:5" ht="26.25" customHeight="1">
      <c r="A37" s="22"/>
      <c r="B37" s="25" t="s">
        <v>60</v>
      </c>
      <c r="C37" s="25" t="s">
        <v>61</v>
      </c>
      <c r="D37" s="18"/>
      <c r="E37" s="18"/>
    </row>
    <row r="38" spans="1:5" ht="25.5" customHeight="1">
      <c r="A38" s="22"/>
      <c r="B38" s="25" t="s">
        <v>62</v>
      </c>
      <c r="C38" s="25" t="s">
        <v>63</v>
      </c>
      <c r="D38" s="18"/>
      <c r="E38" s="18"/>
    </row>
    <row r="39" spans="1:5" ht="13.7" customHeight="1">
      <c r="A39" s="22"/>
      <c r="B39" s="25" t="s">
        <v>64</v>
      </c>
      <c r="C39" s="25" t="s">
        <v>65</v>
      </c>
      <c r="D39" s="18"/>
      <c r="E39" s="18"/>
    </row>
    <row r="43" spans="1:5" ht="12.75" customHeight="1">
      <c r="C43" s="11" t="s">
        <v>66</v>
      </c>
    </row>
    <row r="44" spans="1:5" ht="12.75" customHeight="1">
      <c r="C44" s="12" t="s">
        <v>67</v>
      </c>
    </row>
    <row r="45" spans="1:5" ht="12.75" customHeight="1">
      <c r="C45" s="12" t="s">
        <v>68</v>
      </c>
    </row>
    <row r="46" spans="1:5" ht="12.75" customHeight="1">
      <c r="C46" s="12" t="s">
        <v>69</v>
      </c>
    </row>
    <row r="47" spans="1:5" ht="12.75" customHeight="1">
      <c r="C47" s="12" t="s">
        <v>70</v>
      </c>
    </row>
    <row r="48" spans="1:5" ht="12.75" customHeight="1">
      <c r="C48" s="12" t="s">
        <v>71</v>
      </c>
    </row>
    <row r="49" spans="3:3" ht="12.75" customHeight="1">
      <c r="C49" s="12" t="s">
        <v>72</v>
      </c>
    </row>
    <row r="50" spans="3:3" ht="12.75" customHeight="1">
      <c r="C50" s="12" t="s">
        <v>73</v>
      </c>
    </row>
    <row r="51" spans="3:3" ht="12.75" customHeight="1">
      <c r="C51" s="13" t="s">
        <v>74</v>
      </c>
    </row>
    <row r="52" spans="3:3" ht="12.75" customHeight="1">
      <c r="C52" s="13" t="s">
        <v>75</v>
      </c>
    </row>
    <row r="53" spans="3:3" ht="12.75" customHeight="1">
      <c r="C53" s="12" t="s">
        <v>76</v>
      </c>
    </row>
    <row r="54" spans="3:3" ht="12.75" customHeight="1">
      <c r="C54" s="14" t="s">
        <v>77</v>
      </c>
    </row>
    <row r="57" spans="3:3" ht="12.75" customHeight="1">
      <c r="C57" s="11" t="s">
        <v>78</v>
      </c>
    </row>
    <row r="58" spans="3:3" ht="12.75" customHeight="1">
      <c r="C58" s="26" t="s">
        <v>79</v>
      </c>
    </row>
    <row r="59" spans="3:3" ht="12.75" customHeight="1">
      <c r="C59" s="26" t="s">
        <v>80</v>
      </c>
    </row>
    <row r="60" spans="3:3" ht="12.75" customHeight="1">
      <c r="C60" s="26" t="s">
        <v>81</v>
      </c>
    </row>
    <row r="61" spans="3:3" ht="12.75" customHeight="1">
      <c r="C61" s="26" t="s">
        <v>82</v>
      </c>
    </row>
    <row r="62" spans="3:3" ht="12.75" customHeight="1">
      <c r="C62" s="26" t="s">
        <v>83</v>
      </c>
    </row>
    <row r="63" spans="3:3" ht="12.75" customHeight="1">
      <c r="C63" s="27" t="s">
        <v>84</v>
      </c>
    </row>
    <row r="66" spans="3:3" ht="12.75" customHeight="1">
      <c r="C66" s="11" t="s">
        <v>85</v>
      </c>
    </row>
    <row r="67" spans="3:3" ht="12.75" customHeight="1">
      <c r="C67" s="26" t="s">
        <v>86</v>
      </c>
    </row>
    <row r="68" spans="3:3" ht="12.75" customHeight="1">
      <c r="C68" s="26" t="s">
        <v>87</v>
      </c>
    </row>
    <row r="69" spans="3:3" ht="12.75" customHeight="1">
      <c r="C69" s="26" t="s">
        <v>88</v>
      </c>
    </row>
    <row r="70" spans="3:3" ht="12.75" customHeight="1">
      <c r="C70" s="26" t="s">
        <v>89</v>
      </c>
    </row>
    <row r="71" spans="3:3" ht="12.75" customHeight="1">
      <c r="C71" s="26" t="s">
        <v>90</v>
      </c>
    </row>
    <row r="72" spans="3:3" ht="12.75" customHeight="1">
      <c r="C72" s="27" t="s">
        <v>91</v>
      </c>
    </row>
    <row r="73" spans="3:3" ht="12.75" customHeight="1">
      <c r="C73" s="26" t="s">
        <v>92</v>
      </c>
    </row>
    <row r="74" spans="3:3" ht="12.75" customHeight="1">
      <c r="C74" s="28" t="s">
        <v>93</v>
      </c>
    </row>
    <row r="75" spans="3:3" ht="12.75" customHeight="1">
      <c r="C75" s="28" t="s">
        <v>94</v>
      </c>
    </row>
    <row r="76" spans="3:3" ht="12.75" customHeight="1">
      <c r="C76" s="26" t="s">
        <v>95</v>
      </c>
    </row>
  </sheetData>
  <mergeCells count="4">
    <mergeCell ref="B4:C4"/>
    <mergeCell ref="B28:C28"/>
    <mergeCell ref="B18:C18"/>
    <mergeCell ref="B2:C2"/>
  </mergeCells>
  <pageMargins left="0.7" right="0.7" top="0.75" bottom="0.75" header="0.3" footer="0.3"/>
  <pageSetup scale="41" orientation="landscape" r:id="rId1"/>
  <headerFooter>
    <oddFooter>&amp;C&amp;"Helvetica Neue,Regular"&amp;12&amp;K000000&amp;P</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695B8-7186-436E-A0B5-04568A5B1919}">
  <sheetPr filterMode="1"/>
  <dimension ref="A1:D17"/>
  <sheetViews>
    <sheetView workbookViewId="0">
      <selection activeCell="C8" sqref="C8"/>
    </sheetView>
  </sheetViews>
  <sheetFormatPr defaultRowHeight="12.75"/>
  <cols>
    <col min="2" max="2" width="67.28515625" customWidth="1"/>
    <col min="3" max="3" width="41.7109375" customWidth="1"/>
    <col min="4" max="4" width="40.140625" customWidth="1"/>
  </cols>
  <sheetData>
    <row r="1" spans="1:4">
      <c r="A1" t="s">
        <v>96</v>
      </c>
      <c r="B1" t="s">
        <v>97</v>
      </c>
      <c r="C1" t="s">
        <v>98</v>
      </c>
      <c r="D1" t="s">
        <v>99</v>
      </c>
    </row>
    <row r="2" spans="1:4" hidden="1">
      <c r="A2">
        <v>1</v>
      </c>
      <c r="B2" t="s">
        <v>100</v>
      </c>
      <c r="C2" t="s">
        <v>101</v>
      </c>
      <c r="D2">
        <v>1</v>
      </c>
    </row>
    <row r="3" spans="1:4" hidden="1">
      <c r="A3">
        <v>2</v>
      </c>
      <c r="B3" t="s">
        <v>100</v>
      </c>
      <c r="C3" t="s">
        <v>102</v>
      </c>
      <c r="D3">
        <v>1</v>
      </c>
    </row>
    <row r="4" spans="1:4" hidden="1">
      <c r="A4">
        <v>3</v>
      </c>
      <c r="B4" t="s">
        <v>100</v>
      </c>
      <c r="C4" t="s">
        <v>103</v>
      </c>
      <c r="D4">
        <v>1</v>
      </c>
    </row>
    <row r="5" spans="1:4" hidden="1">
      <c r="A5">
        <v>4</v>
      </c>
      <c r="B5" t="s">
        <v>100</v>
      </c>
      <c r="C5" t="s">
        <v>104</v>
      </c>
      <c r="D5">
        <v>1</v>
      </c>
    </row>
    <row r="6" spans="1:4" hidden="1">
      <c r="A6">
        <v>5</v>
      </c>
      <c r="B6" t="s">
        <v>100</v>
      </c>
      <c r="C6" t="s">
        <v>105</v>
      </c>
      <c r="D6">
        <v>1</v>
      </c>
    </row>
    <row r="7" spans="1:4">
      <c r="A7">
        <v>6</v>
      </c>
      <c r="B7" t="s">
        <v>106</v>
      </c>
      <c r="C7" t="s">
        <v>107</v>
      </c>
      <c r="D7">
        <v>1</v>
      </c>
    </row>
    <row r="8" spans="1:4">
      <c r="A8">
        <v>7</v>
      </c>
      <c r="B8" t="s">
        <v>106</v>
      </c>
      <c r="C8" t="s">
        <v>108</v>
      </c>
      <c r="D8">
        <v>-1</v>
      </c>
    </row>
    <row r="9" spans="1:4">
      <c r="A9">
        <v>8</v>
      </c>
      <c r="B9" t="s">
        <v>106</v>
      </c>
      <c r="C9" t="s">
        <v>109</v>
      </c>
      <c r="D9">
        <v>1</v>
      </c>
    </row>
    <row r="10" spans="1:4" hidden="1">
      <c r="A10">
        <v>9</v>
      </c>
      <c r="B10" t="s">
        <v>100</v>
      </c>
      <c r="C10" t="s">
        <v>101</v>
      </c>
      <c r="D10">
        <v>2</v>
      </c>
    </row>
    <row r="11" spans="1:4" hidden="1">
      <c r="A11">
        <v>10</v>
      </c>
      <c r="B11" t="s">
        <v>100</v>
      </c>
      <c r="C11" t="s">
        <v>102</v>
      </c>
      <c r="D11">
        <v>2</v>
      </c>
    </row>
    <row r="12" spans="1:4" hidden="1">
      <c r="A12">
        <v>11</v>
      </c>
      <c r="B12" t="s">
        <v>100</v>
      </c>
      <c r="C12" t="s">
        <v>103</v>
      </c>
      <c r="D12">
        <v>2</v>
      </c>
    </row>
    <row r="13" spans="1:4" hidden="1">
      <c r="A13">
        <v>12</v>
      </c>
      <c r="B13" t="s">
        <v>100</v>
      </c>
      <c r="C13" t="s">
        <v>104</v>
      </c>
      <c r="D13">
        <v>2</v>
      </c>
    </row>
    <row r="14" spans="1:4" hidden="1">
      <c r="A14">
        <v>13</v>
      </c>
      <c r="B14" t="s">
        <v>100</v>
      </c>
      <c r="C14" t="s">
        <v>105</v>
      </c>
      <c r="D14">
        <v>2</v>
      </c>
    </row>
    <row r="15" spans="1:4">
      <c r="A15">
        <v>14</v>
      </c>
      <c r="B15" t="s">
        <v>106</v>
      </c>
      <c r="C15" t="s">
        <v>107</v>
      </c>
      <c r="D15">
        <v>2</v>
      </c>
    </row>
    <row r="16" spans="1:4">
      <c r="A16">
        <v>15</v>
      </c>
      <c r="B16" t="s">
        <v>106</v>
      </c>
      <c r="C16" t="s">
        <v>110</v>
      </c>
      <c r="D16">
        <v>2</v>
      </c>
    </row>
    <row r="17" spans="1:4">
      <c r="A17">
        <v>16</v>
      </c>
      <c r="B17" t="s">
        <v>106</v>
      </c>
      <c r="C17" t="s">
        <v>109</v>
      </c>
      <c r="D17">
        <v>2</v>
      </c>
    </row>
  </sheetData>
  <autoFilter ref="A1:D17" xr:uid="{09C695B8-7186-436E-A0B5-04568A5B1919}">
    <filterColumn colId="1">
      <filters>
        <filter val="DureeRetention"/>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HK174"/>
  <sheetViews>
    <sheetView showGridLines="0" tabSelected="1" zoomScale="115" zoomScaleNormal="115" workbookViewId="0">
      <pane xSplit="5" ySplit="6" topLeftCell="BC50" activePane="bottomRight" state="frozen"/>
      <selection pane="bottomRight" activeCell="BC1" sqref="BC1:BT1048576"/>
      <selection pane="bottomLeft" activeCell="A7" sqref="A7"/>
      <selection pane="topRight" activeCell="F1" sqref="F1"/>
    </sheetView>
  </sheetViews>
  <sheetFormatPr defaultColWidth="11.42578125" defaultRowHeight="12.75" outlineLevelCol="1"/>
  <cols>
    <col min="1" max="1" width="2.85546875" style="109" customWidth="1"/>
    <col min="2" max="2" width="4.42578125" style="1" customWidth="1"/>
    <col min="3" max="3" width="17.7109375" style="1" customWidth="1"/>
    <col min="4" max="4" width="14.42578125" style="1" bestFit="1" customWidth="1"/>
    <col min="5" max="5" width="24.7109375" style="1" customWidth="1"/>
    <col min="6" max="6" width="16.5703125" style="1" customWidth="1"/>
    <col min="7" max="7" width="17.7109375" style="1" customWidth="1"/>
    <col min="8" max="8" width="25.85546875" style="1" customWidth="1"/>
    <col min="9" max="9" width="23.42578125" style="1" customWidth="1"/>
    <col min="10" max="10" width="24.7109375" style="1" customWidth="1"/>
    <col min="11" max="12" width="24.42578125" style="1" customWidth="1"/>
    <col min="13" max="13" width="61.85546875" style="1" customWidth="1"/>
    <col min="14" max="19" width="20.42578125" style="1" customWidth="1"/>
    <col min="20" max="20" width="29.7109375" style="1" customWidth="1"/>
    <col min="21" max="21" width="33.85546875" style="1" customWidth="1"/>
    <col min="22" max="22" width="32" style="1" customWidth="1"/>
    <col min="23" max="23" width="39.28515625" style="1" customWidth="1"/>
    <col min="24" max="24" width="20.42578125" style="1" customWidth="1"/>
    <col min="25" max="26" width="19.42578125" style="1" customWidth="1"/>
    <col min="27" max="27" width="33.140625" style="1" customWidth="1"/>
    <col min="28" max="28" width="38.7109375" style="1" bestFit="1" customWidth="1"/>
    <col min="29" max="29" width="35.28515625" style="1" customWidth="1"/>
    <col min="30" max="30" width="38.7109375" style="1" customWidth="1"/>
    <col min="31" max="31" width="25" style="1" customWidth="1"/>
    <col min="32" max="32" width="26.140625" style="128" customWidth="1"/>
    <col min="33" max="33" width="14.42578125" style="1" customWidth="1"/>
    <col min="34" max="34" width="30.140625" style="1" customWidth="1"/>
    <col min="35" max="35" width="37.28515625" style="1" customWidth="1"/>
    <col min="36" max="36" width="24" style="1" customWidth="1"/>
    <col min="37" max="37" width="18.140625" style="1" customWidth="1"/>
    <col min="38" max="38" width="17.42578125" style="1" customWidth="1"/>
    <col min="39" max="39" width="49.28515625" style="1" bestFit="1" customWidth="1"/>
    <col min="40" max="54" width="13.140625" style="1" customWidth="1" outlineLevel="1"/>
    <col min="55" max="72" width="25.28515625" style="1" customWidth="1" outlineLevel="1"/>
    <col min="73" max="219" width="11.42578125" style="1" customWidth="1"/>
  </cols>
  <sheetData>
    <row r="1" spans="1:72">
      <c r="A1" s="105"/>
      <c r="B1" s="179" t="s">
        <v>111</v>
      </c>
      <c r="C1" s="179"/>
      <c r="D1" s="179"/>
      <c r="E1" s="179"/>
      <c r="F1" s="179"/>
      <c r="G1" s="179"/>
      <c r="H1" s="179"/>
      <c r="I1" s="179"/>
      <c r="J1" s="179"/>
      <c r="K1" s="179"/>
      <c r="L1" s="179"/>
      <c r="M1" s="179"/>
      <c r="N1" s="2"/>
      <c r="O1" s="2"/>
      <c r="P1" s="2"/>
      <c r="Q1" s="2"/>
      <c r="R1" s="2"/>
      <c r="S1" s="2"/>
      <c r="T1" s="2"/>
      <c r="U1" s="2"/>
      <c r="V1" s="2"/>
      <c r="W1" s="2"/>
      <c r="X1" s="2"/>
      <c r="Y1" s="2"/>
      <c r="Z1" s="2"/>
      <c r="AA1" s="2"/>
      <c r="AB1" s="2"/>
      <c r="AC1" s="2"/>
      <c r="AD1" s="2"/>
      <c r="AE1" s="2"/>
      <c r="AF1" s="124"/>
      <c r="AG1" s="2"/>
      <c r="AH1" s="2"/>
      <c r="AI1" s="2"/>
      <c r="AJ1" s="2"/>
      <c r="AK1" s="2"/>
      <c r="AL1" s="2"/>
      <c r="AM1" s="2"/>
      <c r="AN1" s="2"/>
      <c r="AO1" s="29"/>
      <c r="AP1" s="2"/>
      <c r="AQ1" s="29"/>
      <c r="AR1" s="2"/>
      <c r="AS1" s="29"/>
      <c r="AT1" s="2"/>
      <c r="AU1" s="29"/>
      <c r="AV1" s="2"/>
      <c r="AW1" s="29"/>
      <c r="AX1" s="29"/>
      <c r="AY1" s="29"/>
      <c r="AZ1" s="29"/>
      <c r="BA1" s="29"/>
      <c r="BB1" s="2"/>
      <c r="BC1" s="29"/>
      <c r="BD1" s="2"/>
      <c r="BE1" s="29"/>
      <c r="BF1" s="2"/>
      <c r="BG1" s="29"/>
      <c r="BH1" s="2"/>
      <c r="BI1" s="29"/>
      <c r="BJ1" s="29"/>
      <c r="BK1" s="29"/>
      <c r="BL1" s="2"/>
      <c r="BM1" s="2"/>
      <c r="BN1" s="2"/>
      <c r="BO1" s="2"/>
      <c r="BP1" s="2"/>
      <c r="BQ1" s="2"/>
      <c r="BR1" s="2"/>
      <c r="BS1" s="2"/>
      <c r="BT1" s="30"/>
    </row>
    <row r="2" spans="1:72">
      <c r="A2" s="106"/>
      <c r="B2" s="179"/>
      <c r="C2" s="179"/>
      <c r="D2" s="179"/>
      <c r="E2" s="179"/>
      <c r="F2" s="179"/>
      <c r="G2" s="179"/>
      <c r="H2" s="179"/>
      <c r="I2" s="179"/>
      <c r="J2" s="179"/>
      <c r="K2" s="179"/>
      <c r="L2" s="179"/>
      <c r="M2" s="179"/>
      <c r="N2" s="3"/>
      <c r="O2" s="3"/>
      <c r="P2" s="3"/>
      <c r="Q2" s="3"/>
      <c r="R2" s="3"/>
      <c r="S2" s="3"/>
      <c r="T2" s="3"/>
      <c r="U2" s="3"/>
      <c r="V2" s="3"/>
      <c r="W2" s="3"/>
      <c r="X2" s="3"/>
      <c r="Y2" s="3"/>
      <c r="Z2" s="3"/>
      <c r="AA2" s="3"/>
      <c r="AB2" s="3"/>
      <c r="AC2" s="3"/>
      <c r="AD2" s="3"/>
      <c r="AE2" s="3"/>
      <c r="AF2" s="125"/>
      <c r="AG2" s="3"/>
      <c r="AH2" s="3"/>
      <c r="AI2" s="3"/>
      <c r="AJ2" s="3"/>
      <c r="AK2" s="3"/>
      <c r="AL2" s="3"/>
      <c r="AM2" s="3"/>
      <c r="AN2" s="3"/>
      <c r="AO2" s="31"/>
      <c r="AP2" s="3"/>
      <c r="AQ2" s="31"/>
      <c r="AR2" s="3"/>
      <c r="AS2" s="31"/>
      <c r="AT2" s="3"/>
      <c r="AU2" s="31"/>
      <c r="AV2" s="3"/>
      <c r="AW2" s="31"/>
      <c r="AX2" s="31"/>
      <c r="AY2" s="31"/>
      <c r="AZ2" s="31"/>
      <c r="BA2" s="31"/>
      <c r="BB2" s="3"/>
      <c r="BC2" s="31"/>
      <c r="BD2" s="3"/>
      <c r="BE2" s="31"/>
      <c r="BF2" s="3"/>
      <c r="BG2" s="31"/>
      <c r="BH2" s="3"/>
      <c r="BI2" s="31"/>
      <c r="BJ2" s="31"/>
      <c r="BK2" s="31"/>
      <c r="BL2" s="3"/>
      <c r="BM2" s="3"/>
      <c r="BN2" s="3"/>
      <c r="BO2" s="3"/>
      <c r="BP2" s="3"/>
      <c r="BQ2" s="3"/>
      <c r="BR2" s="3"/>
      <c r="BS2" s="3"/>
      <c r="BT2" s="32"/>
    </row>
    <row r="3" spans="1:72">
      <c r="A3" s="106"/>
      <c r="B3" s="179"/>
      <c r="C3" s="179"/>
      <c r="D3" s="179"/>
      <c r="E3" s="179"/>
      <c r="F3" s="179"/>
      <c r="G3" s="179"/>
      <c r="H3" s="179"/>
      <c r="I3" s="179"/>
      <c r="J3" s="179"/>
      <c r="K3" s="179"/>
      <c r="L3" s="179"/>
      <c r="M3" s="179"/>
      <c r="N3" s="3"/>
      <c r="O3" s="3"/>
      <c r="P3" s="3"/>
      <c r="Q3" s="3"/>
      <c r="R3" s="3"/>
      <c r="S3" s="3"/>
      <c r="T3" s="3"/>
      <c r="U3" s="3"/>
      <c r="V3" s="3"/>
      <c r="W3" s="3"/>
      <c r="X3" s="3"/>
      <c r="Y3" s="3"/>
      <c r="Z3" s="3"/>
      <c r="AA3" s="3"/>
      <c r="AB3" s="3"/>
      <c r="AC3" s="3"/>
      <c r="AD3" s="3"/>
      <c r="AE3" s="3"/>
      <c r="AF3" s="125"/>
      <c r="AG3" s="3"/>
      <c r="AH3" s="3"/>
      <c r="AI3" s="3"/>
      <c r="AJ3" s="3"/>
      <c r="AK3" s="3"/>
      <c r="AL3" s="3"/>
      <c r="AM3" s="3"/>
      <c r="AN3" s="3"/>
      <c r="AO3" s="31"/>
      <c r="AP3" s="3"/>
      <c r="AQ3" s="31"/>
      <c r="AR3" s="3"/>
      <c r="AS3" s="31"/>
      <c r="AT3" s="3"/>
      <c r="AU3" s="31"/>
      <c r="AV3" s="3"/>
      <c r="AW3" s="31"/>
      <c r="AX3" s="31"/>
      <c r="AY3" s="31"/>
      <c r="AZ3" s="31"/>
      <c r="BA3" s="31"/>
      <c r="BB3" s="3"/>
      <c r="BC3" s="31"/>
      <c r="BD3" s="3"/>
      <c r="BE3" s="31"/>
      <c r="BF3" s="3"/>
      <c r="BG3" s="31"/>
      <c r="BH3" s="3"/>
      <c r="BI3" s="31"/>
      <c r="BJ3" s="31"/>
      <c r="BK3" s="31"/>
      <c r="BL3" s="3"/>
      <c r="BM3" s="3"/>
      <c r="BN3" s="3"/>
      <c r="BO3" s="3"/>
      <c r="BP3" s="3"/>
      <c r="BQ3" s="3"/>
      <c r="BR3" s="3"/>
      <c r="BS3" s="3"/>
      <c r="BT3" s="32"/>
    </row>
    <row r="4" spans="1:72" ht="23.25">
      <c r="A4" s="106"/>
      <c r="B4" s="4"/>
      <c r="C4" s="4"/>
      <c r="D4" s="4"/>
      <c r="E4" s="4"/>
      <c r="F4" s="4"/>
      <c r="G4" s="4"/>
      <c r="H4" s="4"/>
      <c r="I4" s="4"/>
      <c r="J4" s="4"/>
      <c r="K4" s="4"/>
      <c r="L4" s="4"/>
      <c r="M4" s="4"/>
      <c r="N4" s="4"/>
      <c r="O4" s="4"/>
      <c r="P4" s="4"/>
      <c r="Q4" s="4"/>
      <c r="R4" s="4"/>
      <c r="S4" s="4"/>
      <c r="T4" s="4"/>
      <c r="U4" s="4"/>
      <c r="V4" s="4"/>
      <c r="W4" s="4"/>
      <c r="X4" s="5"/>
      <c r="Y4" s="5"/>
      <c r="Z4" s="5"/>
      <c r="AA4" s="5"/>
      <c r="AB4" s="5"/>
      <c r="AC4" s="5"/>
      <c r="AD4" s="5"/>
      <c r="AE4" s="5"/>
      <c r="AF4" s="126"/>
      <c r="AG4" s="5"/>
      <c r="AH4" s="5"/>
      <c r="AI4" s="5"/>
      <c r="AJ4" s="5"/>
      <c r="AK4" s="5"/>
      <c r="AL4" s="5"/>
      <c r="AM4" s="5"/>
      <c r="AN4" s="190" t="s">
        <v>112</v>
      </c>
      <c r="AO4" s="190"/>
      <c r="AP4" s="190"/>
      <c r="AQ4" s="190"/>
      <c r="AR4" s="190"/>
      <c r="AS4" s="190"/>
      <c r="AT4" s="190"/>
      <c r="AU4" s="190"/>
      <c r="AV4" s="190"/>
      <c r="AW4" s="190"/>
      <c r="AX4" s="190"/>
      <c r="AY4" s="190"/>
      <c r="AZ4" s="190"/>
      <c r="BA4" s="190"/>
      <c r="BB4" s="190"/>
      <c r="BC4" s="190"/>
      <c r="BD4" s="190"/>
      <c r="BE4" s="190"/>
      <c r="BF4" s="190"/>
      <c r="BG4" s="190"/>
      <c r="BH4" s="190"/>
      <c r="BI4" s="190"/>
      <c r="BJ4" s="190"/>
      <c r="BK4" s="190"/>
      <c r="BL4" s="190"/>
      <c r="BM4" s="190"/>
      <c r="BN4" s="190"/>
      <c r="BO4" s="190"/>
      <c r="BP4" s="190"/>
      <c r="BQ4" s="190"/>
      <c r="BR4" s="190"/>
      <c r="BS4" s="190"/>
      <c r="BT4" s="191"/>
    </row>
    <row r="5" spans="1:72" ht="26.25">
      <c r="A5" s="107"/>
      <c r="B5" s="183" t="s">
        <v>1</v>
      </c>
      <c r="C5" s="184"/>
      <c r="D5" s="185"/>
      <c r="E5" s="185"/>
      <c r="F5" s="185"/>
      <c r="G5" s="185"/>
      <c r="H5" s="185"/>
      <c r="I5" s="185"/>
      <c r="J5" s="185"/>
      <c r="K5" s="185"/>
      <c r="L5" s="185"/>
      <c r="M5" s="186"/>
      <c r="N5" s="187" t="s">
        <v>26</v>
      </c>
      <c r="O5" s="188"/>
      <c r="P5" s="188"/>
      <c r="Q5" s="188"/>
      <c r="R5" s="188"/>
      <c r="S5" s="188"/>
      <c r="T5" s="188"/>
      <c r="U5" s="188"/>
      <c r="V5" s="188"/>
      <c r="W5" s="189"/>
      <c r="X5" s="180" t="s">
        <v>43</v>
      </c>
      <c r="Y5" s="181"/>
      <c r="Z5" s="181"/>
      <c r="AA5" s="181"/>
      <c r="AB5" s="181"/>
      <c r="AC5" s="181"/>
      <c r="AD5" s="181"/>
      <c r="AE5" s="181"/>
      <c r="AF5" s="181"/>
      <c r="AG5" s="181"/>
      <c r="AH5" s="181"/>
      <c r="AI5" s="181"/>
      <c r="AJ5" s="181"/>
      <c r="AK5" s="181"/>
      <c r="AL5" s="181"/>
      <c r="AM5" s="182"/>
      <c r="AN5" s="87"/>
      <c r="AO5" s="178" t="s">
        <v>113</v>
      </c>
      <c r="AP5" s="178"/>
      <c r="AQ5" s="178" t="s">
        <v>114</v>
      </c>
      <c r="AR5" s="192"/>
      <c r="AS5" s="178" t="s">
        <v>115</v>
      </c>
      <c r="AT5" s="192"/>
      <c r="AU5" s="178" t="s">
        <v>116</v>
      </c>
      <c r="AV5" s="192"/>
      <c r="AW5" s="178" t="s">
        <v>117</v>
      </c>
      <c r="AX5" s="192"/>
      <c r="AY5" s="178" t="s">
        <v>118</v>
      </c>
      <c r="AZ5" s="192"/>
      <c r="BA5" s="178" t="s">
        <v>119</v>
      </c>
      <c r="BB5" s="192"/>
      <c r="BC5" s="178" t="s">
        <v>120</v>
      </c>
      <c r="BD5" s="192"/>
      <c r="BE5" s="178" t="s">
        <v>121</v>
      </c>
      <c r="BF5" s="192"/>
      <c r="BG5" s="178" t="s">
        <v>122</v>
      </c>
      <c r="BH5" s="192"/>
      <c r="BI5" s="37"/>
      <c r="BJ5" s="37"/>
      <c r="BK5" s="37"/>
      <c r="BL5" s="193" t="s">
        <v>123</v>
      </c>
      <c r="BM5" s="194"/>
      <c r="BN5" s="194"/>
      <c r="BO5" s="194"/>
      <c r="BP5" s="194"/>
      <c r="BQ5" s="194"/>
      <c r="BR5" s="194"/>
      <c r="BS5" s="194"/>
      <c r="BT5" s="194"/>
    </row>
    <row r="6" spans="1:72" ht="77.25" thickBot="1">
      <c r="A6" s="106"/>
      <c r="B6" s="52" t="s">
        <v>2</v>
      </c>
      <c r="C6" s="52" t="s">
        <v>4</v>
      </c>
      <c r="D6" s="52" t="s">
        <v>124</v>
      </c>
      <c r="E6" s="52" t="s">
        <v>6</v>
      </c>
      <c r="F6" s="53" t="s">
        <v>8</v>
      </c>
      <c r="G6" s="53" t="s">
        <v>10</v>
      </c>
      <c r="H6" s="53" t="s">
        <v>125</v>
      </c>
      <c r="I6" s="53" t="s">
        <v>14</v>
      </c>
      <c r="J6" s="53" t="s">
        <v>16</v>
      </c>
      <c r="K6" s="53" t="s">
        <v>126</v>
      </c>
      <c r="L6" s="52" t="s">
        <v>22</v>
      </c>
      <c r="M6" s="54" t="s">
        <v>24</v>
      </c>
      <c r="N6" s="55" t="s">
        <v>27</v>
      </c>
      <c r="O6" s="56" t="s">
        <v>29</v>
      </c>
      <c r="P6" s="56" t="s">
        <v>31</v>
      </c>
      <c r="Q6" s="56" t="s">
        <v>33</v>
      </c>
      <c r="R6" s="56" t="s">
        <v>35</v>
      </c>
      <c r="S6" s="56" t="s">
        <v>37</v>
      </c>
      <c r="T6" s="56" t="s">
        <v>39</v>
      </c>
      <c r="U6" s="56" t="s">
        <v>127</v>
      </c>
      <c r="V6" s="56" t="s">
        <v>100</v>
      </c>
      <c r="W6" s="59" t="s">
        <v>128</v>
      </c>
      <c r="X6" s="57" t="s">
        <v>44</v>
      </c>
      <c r="Y6" s="58" t="s">
        <v>46</v>
      </c>
      <c r="Z6" s="58" t="s">
        <v>129</v>
      </c>
      <c r="AA6" s="58" t="s">
        <v>130</v>
      </c>
      <c r="AB6" s="58" t="s">
        <v>52</v>
      </c>
      <c r="AC6" s="58" t="s">
        <v>131</v>
      </c>
      <c r="AD6" s="58" t="s">
        <v>52</v>
      </c>
      <c r="AE6" s="58" t="s">
        <v>132</v>
      </c>
      <c r="AF6" s="58" t="s">
        <v>133</v>
      </c>
      <c r="AG6" s="58" t="s">
        <v>134</v>
      </c>
      <c r="AH6" s="58" t="s">
        <v>135</v>
      </c>
      <c r="AI6" s="58" t="s">
        <v>58</v>
      </c>
      <c r="AJ6" s="58" t="s">
        <v>60</v>
      </c>
      <c r="AK6" s="58" t="s">
        <v>136</v>
      </c>
      <c r="AL6" s="58" t="s">
        <v>64</v>
      </c>
      <c r="AM6" s="58" t="s">
        <v>137</v>
      </c>
      <c r="AN6" s="81" t="s">
        <v>138</v>
      </c>
      <c r="AO6" s="86" t="s">
        <v>139</v>
      </c>
      <c r="AP6" s="81" t="s">
        <v>140</v>
      </c>
      <c r="AQ6" s="86" t="s">
        <v>141</v>
      </c>
      <c r="AR6" s="81" t="s">
        <v>142</v>
      </c>
      <c r="AS6" s="86" t="s">
        <v>143</v>
      </c>
      <c r="AT6" s="81" t="s">
        <v>144</v>
      </c>
      <c r="AU6" s="86" t="s">
        <v>145</v>
      </c>
      <c r="AV6" s="81" t="s">
        <v>146</v>
      </c>
      <c r="AW6" s="86" t="s">
        <v>147</v>
      </c>
      <c r="AX6" s="81" t="s">
        <v>148</v>
      </c>
      <c r="AY6" s="86" t="s">
        <v>149</v>
      </c>
      <c r="AZ6" s="81" t="s">
        <v>150</v>
      </c>
      <c r="BA6" s="86" t="s">
        <v>151</v>
      </c>
      <c r="BB6" s="81" t="s">
        <v>152</v>
      </c>
      <c r="BC6" s="86" t="s">
        <v>153</v>
      </c>
      <c r="BD6" s="81" t="s">
        <v>154</v>
      </c>
      <c r="BE6" s="86" t="s">
        <v>155</v>
      </c>
      <c r="BF6" s="81" t="s">
        <v>156</v>
      </c>
      <c r="BG6" s="86" t="s">
        <v>157</v>
      </c>
      <c r="BH6" s="81" t="s">
        <v>158</v>
      </c>
      <c r="BI6" s="131" t="s">
        <v>159</v>
      </c>
      <c r="BJ6" s="86" t="s">
        <v>160</v>
      </c>
      <c r="BK6" s="131" t="s">
        <v>161</v>
      </c>
      <c r="BL6" s="33" t="s">
        <v>162</v>
      </c>
      <c r="BM6" s="34" t="s">
        <v>163</v>
      </c>
      <c r="BN6" s="34" t="s">
        <v>164</v>
      </c>
      <c r="BO6" s="34" t="s">
        <v>165</v>
      </c>
      <c r="BP6" s="34" t="s">
        <v>166</v>
      </c>
      <c r="BQ6" s="34" t="s">
        <v>167</v>
      </c>
      <c r="BR6" s="34" t="s">
        <v>168</v>
      </c>
      <c r="BS6" s="34" t="s">
        <v>169</v>
      </c>
      <c r="BT6" s="35" t="s">
        <v>170</v>
      </c>
    </row>
    <row r="7" spans="1:72" ht="231" thickTop="1" thickBot="1">
      <c r="A7" s="106"/>
      <c r="B7" s="38">
        <v>1</v>
      </c>
      <c r="C7" s="139" t="s">
        <v>171</v>
      </c>
      <c r="D7" s="38" t="s">
        <v>172</v>
      </c>
      <c r="E7" s="39" t="s">
        <v>173</v>
      </c>
      <c r="F7" s="40">
        <v>44277</v>
      </c>
      <c r="G7" s="40" t="s">
        <v>174</v>
      </c>
      <c r="H7" s="41" t="s">
        <v>175</v>
      </c>
      <c r="I7" s="42" t="s">
        <v>176</v>
      </c>
      <c r="J7" s="39" t="s">
        <v>177</v>
      </c>
      <c r="K7" s="38" t="s">
        <v>178</v>
      </c>
      <c r="L7" s="38" t="s">
        <v>179</v>
      </c>
      <c r="M7" s="43" t="s">
        <v>180</v>
      </c>
      <c r="N7" s="70" t="s">
        <v>181</v>
      </c>
      <c r="O7" s="38" t="s">
        <v>182</v>
      </c>
      <c r="P7" s="41"/>
      <c r="Q7" s="41"/>
      <c r="R7" s="38" t="s">
        <v>183</v>
      </c>
      <c r="S7" s="38" t="s">
        <v>184</v>
      </c>
      <c r="T7" s="73" t="s">
        <v>185</v>
      </c>
      <c r="U7" s="73" t="s">
        <v>186</v>
      </c>
      <c r="V7" s="73" t="s">
        <v>187</v>
      </c>
      <c r="W7" s="44" t="s">
        <v>89</v>
      </c>
      <c r="X7" s="113" t="s">
        <v>188</v>
      </c>
      <c r="Y7" s="73" t="s">
        <v>79</v>
      </c>
      <c r="Z7" s="73" t="s">
        <v>189</v>
      </c>
      <c r="AA7" s="73" t="s">
        <v>190</v>
      </c>
      <c r="AB7" s="74" t="s">
        <v>191</v>
      </c>
      <c r="AC7" s="73" t="s">
        <v>192</v>
      </c>
      <c r="AD7" s="74" t="s">
        <v>193</v>
      </c>
      <c r="AE7" s="114" t="s">
        <v>194</v>
      </c>
      <c r="AF7" s="74" t="s">
        <v>195</v>
      </c>
      <c r="AG7" s="73" t="s">
        <v>196</v>
      </c>
      <c r="AH7" s="74" t="s">
        <v>197</v>
      </c>
      <c r="AI7" s="116" t="s">
        <v>198</v>
      </c>
      <c r="AJ7" s="74" t="s">
        <v>199</v>
      </c>
      <c r="AK7" s="73" t="s">
        <v>189</v>
      </c>
      <c r="AL7" s="73" t="s">
        <v>199</v>
      </c>
      <c r="AM7" s="104" t="s">
        <v>200</v>
      </c>
      <c r="AN7" s="132">
        <v>1</v>
      </c>
      <c r="AO7" s="132">
        <v>0</v>
      </c>
      <c r="AP7" s="133">
        <f>$AN7*AO7</f>
        <v>0</v>
      </c>
      <c r="AQ7" s="132">
        <v>0</v>
      </c>
      <c r="AR7" s="133">
        <f t="shared" ref="AR7:AX75" si="0">$AN7*AQ7</f>
        <v>0</v>
      </c>
      <c r="AS7" s="132">
        <v>0</v>
      </c>
      <c r="AT7" s="133">
        <f t="shared" si="0"/>
        <v>0</v>
      </c>
      <c r="AU7" s="132">
        <v>0</v>
      </c>
      <c r="AV7" s="133">
        <f t="shared" si="0"/>
        <v>0</v>
      </c>
      <c r="AW7" s="132">
        <v>0</v>
      </c>
      <c r="AX7" s="133">
        <f t="shared" si="0"/>
        <v>0</v>
      </c>
      <c r="AY7" s="132">
        <v>0</v>
      </c>
      <c r="AZ7" s="133">
        <f t="shared" ref="AZ7:AZ75" si="1">$AN7*AY7</f>
        <v>0</v>
      </c>
      <c r="BA7" s="132">
        <v>0</v>
      </c>
      <c r="BB7" s="133">
        <f t="shared" ref="BB7:BB75" si="2">$AN7*BA7</f>
        <v>0</v>
      </c>
      <c r="BC7" s="132">
        <v>0</v>
      </c>
      <c r="BD7" s="133">
        <f t="shared" ref="BD7:BD75" si="3">$AN7*BC7</f>
        <v>0</v>
      </c>
      <c r="BE7" s="132">
        <v>0</v>
      </c>
      <c r="BF7" s="133">
        <f t="shared" ref="BF7:BF75" si="4">$AN7*BE7</f>
        <v>0</v>
      </c>
      <c r="BG7" s="132">
        <v>0</v>
      </c>
      <c r="BH7" s="133">
        <f t="shared" ref="BH7:BH75" si="5">$AN7*BG7</f>
        <v>0</v>
      </c>
      <c r="BI7" s="89">
        <f t="shared" ref="BI7:BI75" si="6">AP7:AP7+AR7:AR7+AT7:AT7+AV7:AV7+AX7:AX7+AZ7:AZ7+BB7:BB7+BD7:BD7+BF7:BF7+BH7:BH7</f>
        <v>0</v>
      </c>
      <c r="BJ7" s="83" t="s">
        <v>201</v>
      </c>
      <c r="BK7" s="89">
        <v>0</v>
      </c>
      <c r="BL7" s="134"/>
      <c r="BM7" s="85"/>
      <c r="BN7" s="85"/>
      <c r="BO7" s="85" t="s">
        <v>202</v>
      </c>
      <c r="BP7" s="134"/>
      <c r="BQ7" s="85"/>
      <c r="BR7" s="85" t="s">
        <v>202</v>
      </c>
      <c r="BS7" s="85"/>
      <c r="BT7" s="135"/>
    </row>
    <row r="8" spans="1:72" ht="90.75" thickTop="1" thickBot="1">
      <c r="A8" s="106"/>
      <c r="B8" s="45">
        <v>2</v>
      </c>
      <c r="C8" s="140" t="s">
        <v>203</v>
      </c>
      <c r="D8" s="45" t="s">
        <v>172</v>
      </c>
      <c r="E8" s="46" t="s">
        <v>173</v>
      </c>
      <c r="F8" s="47">
        <v>44277</v>
      </c>
      <c r="G8" s="47">
        <v>45855</v>
      </c>
      <c r="H8" s="48" t="s">
        <v>204</v>
      </c>
      <c r="I8" s="49" t="s">
        <v>176</v>
      </c>
      <c r="J8" s="46" t="s">
        <v>177</v>
      </c>
      <c r="K8" s="45" t="s">
        <v>205</v>
      </c>
      <c r="L8" s="45" t="s">
        <v>179</v>
      </c>
      <c r="M8" s="50" t="s">
        <v>180</v>
      </c>
      <c r="N8" s="71" t="s">
        <v>181</v>
      </c>
      <c r="O8" s="72" t="s">
        <v>206</v>
      </c>
      <c r="P8" s="48" t="s">
        <v>207</v>
      </c>
      <c r="Q8" s="48"/>
      <c r="R8" s="45" t="s">
        <v>208</v>
      </c>
      <c r="S8" s="45"/>
      <c r="T8" s="45"/>
      <c r="U8" s="45" t="s">
        <v>209</v>
      </c>
      <c r="V8" s="45" t="s">
        <v>210</v>
      </c>
      <c r="W8" s="51" t="s">
        <v>89</v>
      </c>
      <c r="X8" s="110" t="s">
        <v>188</v>
      </c>
      <c r="Y8" s="72" t="s">
        <v>79</v>
      </c>
      <c r="Z8" s="72" t="s">
        <v>189</v>
      </c>
      <c r="AA8" s="72" t="s">
        <v>211</v>
      </c>
      <c r="AB8" s="111" t="s">
        <v>212</v>
      </c>
      <c r="AC8" s="72" t="s">
        <v>213</v>
      </c>
      <c r="AD8" s="111" t="s">
        <v>193</v>
      </c>
      <c r="AE8" s="103" t="s">
        <v>214</v>
      </c>
      <c r="AF8" s="111" t="s">
        <v>215</v>
      </c>
      <c r="AG8" s="72" t="s">
        <v>196</v>
      </c>
      <c r="AH8" s="111" t="s">
        <v>197</v>
      </c>
      <c r="AI8" s="115" t="s">
        <v>216</v>
      </c>
      <c r="AJ8" s="111" t="s">
        <v>199</v>
      </c>
      <c r="AK8" s="72" t="s">
        <v>189</v>
      </c>
      <c r="AL8" s="72" t="s">
        <v>199</v>
      </c>
      <c r="AM8" s="112"/>
      <c r="AN8" s="136">
        <v>1</v>
      </c>
      <c r="AO8" s="136">
        <v>0</v>
      </c>
      <c r="AP8" s="136">
        <f>$AN8*AO8</f>
        <v>0</v>
      </c>
      <c r="AQ8" s="136">
        <v>0</v>
      </c>
      <c r="AR8" s="136">
        <f t="shared" si="0"/>
        <v>0</v>
      </c>
      <c r="AS8" s="136">
        <v>0</v>
      </c>
      <c r="AT8" s="136">
        <f t="shared" si="0"/>
        <v>0</v>
      </c>
      <c r="AU8" s="136">
        <v>0</v>
      </c>
      <c r="AV8" s="136">
        <f t="shared" si="0"/>
        <v>0</v>
      </c>
      <c r="AW8" s="136">
        <v>0</v>
      </c>
      <c r="AX8" s="136">
        <f t="shared" si="0"/>
        <v>0</v>
      </c>
      <c r="AY8" s="136">
        <v>0</v>
      </c>
      <c r="AZ8" s="136">
        <f t="shared" si="1"/>
        <v>0</v>
      </c>
      <c r="BA8" s="136">
        <v>0</v>
      </c>
      <c r="BB8" s="136">
        <f t="shared" si="2"/>
        <v>0</v>
      </c>
      <c r="BC8" s="136">
        <v>0</v>
      </c>
      <c r="BD8" s="136">
        <f t="shared" si="3"/>
        <v>0</v>
      </c>
      <c r="BE8" s="136">
        <v>0</v>
      </c>
      <c r="BF8" s="136">
        <f t="shared" si="4"/>
        <v>0</v>
      </c>
      <c r="BG8" s="136">
        <v>0</v>
      </c>
      <c r="BH8" s="136">
        <f t="shared" si="5"/>
        <v>0</v>
      </c>
      <c r="BI8" s="88">
        <f t="shared" si="6"/>
        <v>0</v>
      </c>
      <c r="BJ8" s="82" t="s">
        <v>201</v>
      </c>
      <c r="BK8" s="88">
        <v>0</v>
      </c>
      <c r="BL8" s="137"/>
      <c r="BM8" s="84"/>
      <c r="BN8" s="84"/>
      <c r="BO8" s="84" t="s">
        <v>202</v>
      </c>
      <c r="BP8" s="137"/>
      <c r="BQ8" s="84"/>
      <c r="BR8" s="84" t="s">
        <v>202</v>
      </c>
      <c r="BS8" s="84"/>
      <c r="BT8" s="138"/>
    </row>
    <row r="9" spans="1:72" ht="90.75" thickTop="1" thickBot="1">
      <c r="A9" s="106"/>
      <c r="B9" s="38">
        <v>3</v>
      </c>
      <c r="C9" s="139" t="s">
        <v>217</v>
      </c>
      <c r="D9" s="38" t="s">
        <v>172</v>
      </c>
      <c r="E9" s="39" t="s">
        <v>173</v>
      </c>
      <c r="F9" s="40">
        <v>44277</v>
      </c>
      <c r="G9" s="40">
        <v>45855</v>
      </c>
      <c r="H9" s="41" t="s">
        <v>218</v>
      </c>
      <c r="I9" s="42" t="s">
        <v>176</v>
      </c>
      <c r="J9" s="39" t="s">
        <v>177</v>
      </c>
      <c r="K9" s="38" t="s">
        <v>205</v>
      </c>
      <c r="L9" s="38" t="s">
        <v>179</v>
      </c>
      <c r="M9" s="43" t="s">
        <v>180</v>
      </c>
      <c r="N9" s="70" t="s">
        <v>181</v>
      </c>
      <c r="O9" s="38" t="s">
        <v>206</v>
      </c>
      <c r="P9" s="41" t="s">
        <v>207</v>
      </c>
      <c r="Q9" s="41"/>
      <c r="R9" s="38" t="s">
        <v>208</v>
      </c>
      <c r="S9" s="38"/>
      <c r="T9" s="73"/>
      <c r="U9" s="73" t="s">
        <v>209</v>
      </c>
      <c r="V9" s="73" t="s">
        <v>210</v>
      </c>
      <c r="W9" s="44" t="s">
        <v>89</v>
      </c>
      <c r="X9" s="113" t="s">
        <v>188</v>
      </c>
      <c r="Y9" s="73" t="s">
        <v>79</v>
      </c>
      <c r="Z9" s="73" t="s">
        <v>189</v>
      </c>
      <c r="AA9" s="73" t="s">
        <v>199</v>
      </c>
      <c r="AB9" s="74" t="s">
        <v>199</v>
      </c>
      <c r="AC9" s="73" t="s">
        <v>219</v>
      </c>
      <c r="AD9" s="74" t="s">
        <v>193</v>
      </c>
      <c r="AE9" s="114" t="s">
        <v>220</v>
      </c>
      <c r="AF9" s="74" t="s">
        <v>215</v>
      </c>
      <c r="AG9" s="73" t="s">
        <v>196</v>
      </c>
      <c r="AH9" s="74" t="s">
        <v>197</v>
      </c>
      <c r="AI9" s="116" t="s">
        <v>216</v>
      </c>
      <c r="AJ9" s="74" t="s">
        <v>199</v>
      </c>
      <c r="AK9" s="73" t="s">
        <v>189</v>
      </c>
      <c r="AL9" s="73" t="s">
        <v>199</v>
      </c>
      <c r="AM9" s="104"/>
      <c r="AN9" s="132">
        <v>1</v>
      </c>
      <c r="AO9" s="132">
        <v>0</v>
      </c>
      <c r="AP9" s="133">
        <f>$AN9*AO9</f>
        <v>0</v>
      </c>
      <c r="AQ9" s="132">
        <v>0</v>
      </c>
      <c r="AR9" s="133">
        <f t="shared" si="0"/>
        <v>0</v>
      </c>
      <c r="AS9" s="132">
        <v>0</v>
      </c>
      <c r="AT9" s="133">
        <f t="shared" si="0"/>
        <v>0</v>
      </c>
      <c r="AU9" s="132">
        <v>0</v>
      </c>
      <c r="AV9" s="133">
        <f t="shared" si="0"/>
        <v>0</v>
      </c>
      <c r="AW9" s="132">
        <v>0</v>
      </c>
      <c r="AX9" s="133">
        <f t="shared" si="0"/>
        <v>0</v>
      </c>
      <c r="AY9" s="132">
        <v>0</v>
      </c>
      <c r="AZ9" s="133">
        <f t="shared" si="1"/>
        <v>0</v>
      </c>
      <c r="BA9" s="132">
        <v>0</v>
      </c>
      <c r="BB9" s="133">
        <f t="shared" si="2"/>
        <v>0</v>
      </c>
      <c r="BC9" s="132">
        <v>0</v>
      </c>
      <c r="BD9" s="133">
        <f t="shared" si="3"/>
        <v>0</v>
      </c>
      <c r="BE9" s="132">
        <v>0</v>
      </c>
      <c r="BF9" s="133">
        <f t="shared" si="4"/>
        <v>0</v>
      </c>
      <c r="BG9" s="132">
        <v>0</v>
      </c>
      <c r="BH9" s="133">
        <f t="shared" si="5"/>
        <v>0</v>
      </c>
      <c r="BI9" s="89">
        <f t="shared" si="6"/>
        <v>0</v>
      </c>
      <c r="BJ9" s="83" t="s">
        <v>201</v>
      </c>
      <c r="BK9" s="89">
        <v>0</v>
      </c>
      <c r="BL9" s="134"/>
      <c r="BM9" s="85"/>
      <c r="BN9" s="85"/>
      <c r="BO9" s="85" t="s">
        <v>202</v>
      </c>
      <c r="BP9" s="134"/>
      <c r="BQ9" s="85"/>
      <c r="BR9" s="85" t="s">
        <v>202</v>
      </c>
      <c r="BS9" s="85"/>
      <c r="BT9" s="135"/>
    </row>
    <row r="10" spans="1:72" ht="90.75" thickTop="1" thickBot="1">
      <c r="A10" s="106"/>
      <c r="B10" s="45">
        <v>4</v>
      </c>
      <c r="C10" s="140" t="s">
        <v>221</v>
      </c>
      <c r="D10" s="45" t="s">
        <v>172</v>
      </c>
      <c r="E10" s="46" t="s">
        <v>173</v>
      </c>
      <c r="F10" s="47">
        <v>45866</v>
      </c>
      <c r="G10" s="47"/>
      <c r="H10" s="48"/>
      <c r="I10" s="49" t="s">
        <v>176</v>
      </c>
      <c r="J10" s="46" t="s">
        <v>177</v>
      </c>
      <c r="K10" s="45" t="s">
        <v>222</v>
      </c>
      <c r="L10" s="45" t="s">
        <v>179</v>
      </c>
      <c r="M10" s="50" t="s">
        <v>180</v>
      </c>
      <c r="N10" s="71" t="s">
        <v>181</v>
      </c>
      <c r="O10" s="72" t="s">
        <v>206</v>
      </c>
      <c r="P10" s="72" t="s">
        <v>223</v>
      </c>
      <c r="Q10" s="48"/>
      <c r="R10" s="48"/>
      <c r="S10" s="45"/>
      <c r="T10" s="45"/>
      <c r="U10" s="45" t="s">
        <v>224</v>
      </c>
      <c r="V10" s="45" t="s">
        <v>225</v>
      </c>
      <c r="W10" s="51" t="s">
        <v>89</v>
      </c>
      <c r="X10" s="110" t="s">
        <v>188</v>
      </c>
      <c r="Y10" s="72" t="s">
        <v>79</v>
      </c>
      <c r="Z10" s="72" t="s">
        <v>189</v>
      </c>
      <c r="AA10" s="72" t="s">
        <v>199</v>
      </c>
      <c r="AB10" s="111" t="s">
        <v>199</v>
      </c>
      <c r="AC10" s="72" t="s">
        <v>226</v>
      </c>
      <c r="AD10" s="111" t="s">
        <v>193</v>
      </c>
      <c r="AE10" s="103" t="s">
        <v>227</v>
      </c>
      <c r="AF10" s="111" t="s">
        <v>195</v>
      </c>
      <c r="AG10" s="72" t="s">
        <v>196</v>
      </c>
      <c r="AH10" s="111" t="s">
        <v>197</v>
      </c>
      <c r="AI10" s="115" t="s">
        <v>228</v>
      </c>
      <c r="AJ10" s="111" t="s">
        <v>199</v>
      </c>
      <c r="AK10" s="72" t="s">
        <v>189</v>
      </c>
      <c r="AL10" s="72" t="s">
        <v>199</v>
      </c>
      <c r="AM10" s="112"/>
      <c r="AN10" s="136">
        <v>1</v>
      </c>
      <c r="AO10" s="136">
        <v>0</v>
      </c>
      <c r="AP10" s="136">
        <f>$AN10*AO10</f>
        <v>0</v>
      </c>
      <c r="AQ10" s="136">
        <v>0</v>
      </c>
      <c r="AR10" s="136">
        <f t="shared" ref="AR10" si="7">$AN10*AQ10</f>
        <v>0</v>
      </c>
      <c r="AS10" s="136">
        <v>0</v>
      </c>
      <c r="AT10" s="136">
        <f t="shared" ref="AT10" si="8">$AN10*AS10</f>
        <v>0</v>
      </c>
      <c r="AU10" s="136">
        <v>0</v>
      </c>
      <c r="AV10" s="136">
        <f t="shared" ref="AV10" si="9">$AN10*AU10</f>
        <v>0</v>
      </c>
      <c r="AW10" s="136">
        <v>0</v>
      </c>
      <c r="AX10" s="136">
        <f t="shared" ref="AX10" si="10">$AN10*AW10</f>
        <v>0</v>
      </c>
      <c r="AY10" s="136">
        <v>0</v>
      </c>
      <c r="AZ10" s="136">
        <f t="shared" ref="AZ10" si="11">$AN10*AY10</f>
        <v>0</v>
      </c>
      <c r="BA10" s="136">
        <v>0</v>
      </c>
      <c r="BB10" s="136">
        <f t="shared" ref="BB10" si="12">$AN10*BA10</f>
        <v>0</v>
      </c>
      <c r="BC10" s="136">
        <v>0</v>
      </c>
      <c r="BD10" s="136">
        <f t="shared" ref="BD10" si="13">$AN10*BC10</f>
        <v>0</v>
      </c>
      <c r="BE10" s="136">
        <v>0</v>
      </c>
      <c r="BF10" s="136">
        <f t="shared" ref="BF10" si="14">$AN10*BE10</f>
        <v>0</v>
      </c>
      <c r="BG10" s="136">
        <v>0</v>
      </c>
      <c r="BH10" s="136">
        <f t="shared" ref="BH10" si="15">$AN10*BG10</f>
        <v>0</v>
      </c>
      <c r="BI10" s="88">
        <f t="shared" ref="BI10" si="16">AP10:AP10+AR10:AR10+AT10:AT10+AV10:AV10+AX10:AX10+AZ10:AZ10+BB10:BB10+BD10:BD10+BF10:BF10+BH10:BH10</f>
        <v>0</v>
      </c>
      <c r="BJ10" s="82" t="s">
        <v>201</v>
      </c>
      <c r="BK10" s="88">
        <v>0</v>
      </c>
      <c r="BL10" s="137"/>
      <c r="BM10" s="84"/>
      <c r="BN10" s="84"/>
      <c r="BO10" s="84" t="s">
        <v>202</v>
      </c>
      <c r="BP10" s="137"/>
      <c r="BQ10" s="84"/>
      <c r="BR10" s="84" t="s">
        <v>202</v>
      </c>
      <c r="BS10" s="84"/>
      <c r="BT10" s="138"/>
    </row>
    <row r="11" spans="1:72" ht="256.5" thickTop="1" thickBot="1">
      <c r="A11" s="106"/>
      <c r="B11" s="38">
        <v>5</v>
      </c>
      <c r="C11" s="139" t="s">
        <v>217</v>
      </c>
      <c r="D11" s="38" t="s">
        <v>229</v>
      </c>
      <c r="E11" s="39" t="s">
        <v>230</v>
      </c>
      <c r="F11" s="40">
        <v>44277</v>
      </c>
      <c r="G11" s="40">
        <v>45527</v>
      </c>
      <c r="H11" s="41" t="s">
        <v>231</v>
      </c>
      <c r="I11" s="42" t="s">
        <v>176</v>
      </c>
      <c r="J11" s="39" t="s">
        <v>177</v>
      </c>
      <c r="K11" s="38" t="s">
        <v>232</v>
      </c>
      <c r="L11" s="38" t="s">
        <v>233</v>
      </c>
      <c r="M11" s="43" t="s">
        <v>234</v>
      </c>
      <c r="N11" s="70" t="s">
        <v>229</v>
      </c>
      <c r="O11" s="38" t="s">
        <v>235</v>
      </c>
      <c r="P11" s="41"/>
      <c r="Q11" s="41"/>
      <c r="R11" s="38" t="s">
        <v>236</v>
      </c>
      <c r="S11" s="38" t="s">
        <v>237</v>
      </c>
      <c r="T11" s="73" t="s">
        <v>238</v>
      </c>
      <c r="U11" s="73" t="s">
        <v>239</v>
      </c>
      <c r="V11" s="73" t="s">
        <v>240</v>
      </c>
      <c r="W11" s="44" t="s">
        <v>89</v>
      </c>
      <c r="X11" s="113" t="s">
        <v>241</v>
      </c>
      <c r="Y11" s="73" t="s">
        <v>80</v>
      </c>
      <c r="Z11" s="73" t="s">
        <v>189</v>
      </c>
      <c r="AA11" s="73" t="s">
        <v>242</v>
      </c>
      <c r="AB11" s="74" t="s">
        <v>243</v>
      </c>
      <c r="AC11" s="73" t="s">
        <v>226</v>
      </c>
      <c r="AD11" s="74" t="s">
        <v>244</v>
      </c>
      <c r="AE11" s="114" t="s">
        <v>197</v>
      </c>
      <c r="AF11" s="74" t="s">
        <v>226</v>
      </c>
      <c r="AG11" s="73" t="s">
        <v>196</v>
      </c>
      <c r="AH11" s="74" t="s">
        <v>226</v>
      </c>
      <c r="AI11" s="116" t="s">
        <v>245</v>
      </c>
      <c r="AJ11" s="74" t="s">
        <v>199</v>
      </c>
      <c r="AK11" s="73" t="s">
        <v>189</v>
      </c>
      <c r="AL11" s="73" t="s">
        <v>199</v>
      </c>
      <c r="AM11" s="104"/>
      <c r="AN11" s="132">
        <v>2</v>
      </c>
      <c r="AO11" s="132">
        <v>0</v>
      </c>
      <c r="AP11" s="133">
        <f t="shared" ref="AP11:AP74" si="17">$AN11*AO11</f>
        <v>0</v>
      </c>
      <c r="AQ11" s="132">
        <v>0</v>
      </c>
      <c r="AR11" s="133">
        <f t="shared" si="0"/>
        <v>0</v>
      </c>
      <c r="AS11" s="132">
        <v>0</v>
      </c>
      <c r="AT11" s="133">
        <f t="shared" si="0"/>
        <v>0</v>
      </c>
      <c r="AU11" s="132">
        <v>0</v>
      </c>
      <c r="AV11" s="133">
        <f t="shared" si="0"/>
        <v>0</v>
      </c>
      <c r="AW11" s="132">
        <v>0</v>
      </c>
      <c r="AX11" s="133">
        <f t="shared" si="0"/>
        <v>0</v>
      </c>
      <c r="AY11" s="132">
        <v>0</v>
      </c>
      <c r="AZ11" s="133">
        <f t="shared" si="1"/>
        <v>0</v>
      </c>
      <c r="BA11" s="132">
        <v>0</v>
      </c>
      <c r="BB11" s="133">
        <f t="shared" si="2"/>
        <v>0</v>
      </c>
      <c r="BC11" s="132">
        <v>0</v>
      </c>
      <c r="BD11" s="133">
        <f t="shared" si="3"/>
        <v>0</v>
      </c>
      <c r="BE11" s="132">
        <v>0</v>
      </c>
      <c r="BF11" s="133">
        <f t="shared" si="4"/>
        <v>0</v>
      </c>
      <c r="BG11" s="132">
        <v>0</v>
      </c>
      <c r="BH11" s="133">
        <f t="shared" si="5"/>
        <v>0</v>
      </c>
      <c r="BI11" s="89">
        <f t="shared" si="6"/>
        <v>0</v>
      </c>
      <c r="BJ11" s="83" t="s">
        <v>201</v>
      </c>
      <c r="BK11" s="89">
        <v>1</v>
      </c>
      <c r="BL11" s="134"/>
      <c r="BM11" s="85"/>
      <c r="BN11" s="85"/>
      <c r="BO11" s="85" t="s">
        <v>202</v>
      </c>
      <c r="BP11" s="134"/>
      <c r="BQ11" s="85"/>
      <c r="BR11" s="85" t="s">
        <v>202</v>
      </c>
      <c r="BS11" s="85"/>
      <c r="BT11" s="135"/>
    </row>
    <row r="12" spans="1:72" ht="231" thickTop="1" thickBot="1">
      <c r="A12" s="106"/>
      <c r="B12" s="45">
        <v>6</v>
      </c>
      <c r="C12" s="140" t="s">
        <v>203</v>
      </c>
      <c r="D12" s="45" t="s">
        <v>229</v>
      </c>
      <c r="E12" s="46" t="s">
        <v>230</v>
      </c>
      <c r="F12" s="47">
        <v>44277</v>
      </c>
      <c r="G12" s="47">
        <v>45855</v>
      </c>
      <c r="H12" s="48" t="s">
        <v>246</v>
      </c>
      <c r="I12" s="49" t="s">
        <v>176</v>
      </c>
      <c r="J12" s="46" t="s">
        <v>177</v>
      </c>
      <c r="K12" s="45" t="s">
        <v>232</v>
      </c>
      <c r="L12" s="45" t="s">
        <v>233</v>
      </c>
      <c r="M12" s="50" t="s">
        <v>234</v>
      </c>
      <c r="N12" s="71" t="s">
        <v>229</v>
      </c>
      <c r="O12" s="72" t="s">
        <v>247</v>
      </c>
      <c r="P12" s="48"/>
      <c r="Q12" s="48"/>
      <c r="R12" s="45" t="s">
        <v>248</v>
      </c>
      <c r="S12" s="45" t="s">
        <v>249</v>
      </c>
      <c r="T12" s="45"/>
      <c r="U12" s="45" t="s">
        <v>250</v>
      </c>
      <c r="V12" s="45" t="s">
        <v>240</v>
      </c>
      <c r="W12" s="51" t="s">
        <v>89</v>
      </c>
      <c r="X12" s="110" t="s">
        <v>241</v>
      </c>
      <c r="Y12" s="72" t="s">
        <v>80</v>
      </c>
      <c r="Z12" s="72" t="s">
        <v>189</v>
      </c>
      <c r="AA12" s="72" t="s">
        <v>251</v>
      </c>
      <c r="AB12" s="111" t="s">
        <v>252</v>
      </c>
      <c r="AC12" s="72" t="s">
        <v>253</v>
      </c>
      <c r="AD12" s="111" t="s">
        <v>254</v>
      </c>
      <c r="AE12" s="103" t="s">
        <v>255</v>
      </c>
      <c r="AF12" s="111" t="s">
        <v>199</v>
      </c>
      <c r="AG12" s="72" t="s">
        <v>196</v>
      </c>
      <c r="AH12" s="111" t="s">
        <v>256</v>
      </c>
      <c r="AI12" s="115" t="s">
        <v>257</v>
      </c>
      <c r="AJ12" s="111" t="s">
        <v>199</v>
      </c>
      <c r="AK12" s="72" t="s">
        <v>189</v>
      </c>
      <c r="AL12" s="72" t="s">
        <v>199</v>
      </c>
      <c r="AM12" s="112"/>
      <c r="AN12" s="136">
        <v>2</v>
      </c>
      <c r="AO12" s="136">
        <v>0</v>
      </c>
      <c r="AP12" s="136">
        <f t="shared" si="17"/>
        <v>0</v>
      </c>
      <c r="AQ12" s="136">
        <v>0</v>
      </c>
      <c r="AR12" s="136">
        <f t="shared" si="0"/>
        <v>0</v>
      </c>
      <c r="AS12" s="136">
        <v>3</v>
      </c>
      <c r="AT12" s="136">
        <f t="shared" si="0"/>
        <v>6</v>
      </c>
      <c r="AU12" s="136">
        <v>1</v>
      </c>
      <c r="AV12" s="136">
        <f t="shared" si="0"/>
        <v>2</v>
      </c>
      <c r="AW12" s="136">
        <v>2</v>
      </c>
      <c r="AX12" s="136">
        <f t="shared" si="0"/>
        <v>4</v>
      </c>
      <c r="AY12" s="136">
        <v>0</v>
      </c>
      <c r="AZ12" s="136">
        <f t="shared" si="1"/>
        <v>0</v>
      </c>
      <c r="BA12" s="136">
        <v>0</v>
      </c>
      <c r="BB12" s="136">
        <f t="shared" si="2"/>
        <v>0</v>
      </c>
      <c r="BC12" s="136">
        <v>0</v>
      </c>
      <c r="BD12" s="136">
        <f t="shared" si="3"/>
        <v>0</v>
      </c>
      <c r="BE12" s="136">
        <v>0</v>
      </c>
      <c r="BF12" s="136">
        <f t="shared" si="4"/>
        <v>0</v>
      </c>
      <c r="BG12" s="136">
        <v>0</v>
      </c>
      <c r="BH12" s="136">
        <f t="shared" si="5"/>
        <v>0</v>
      </c>
      <c r="BI12" s="88">
        <f t="shared" si="6"/>
        <v>12</v>
      </c>
      <c r="BJ12" s="82" t="s">
        <v>201</v>
      </c>
      <c r="BK12" s="88">
        <v>1</v>
      </c>
      <c r="BL12" s="137"/>
      <c r="BM12" s="84"/>
      <c r="BN12" s="84"/>
      <c r="BO12" s="84" t="s">
        <v>202</v>
      </c>
      <c r="BP12" s="137"/>
      <c r="BQ12" s="84"/>
      <c r="BR12" s="84" t="s">
        <v>202</v>
      </c>
      <c r="BS12" s="84"/>
      <c r="BT12" s="138"/>
    </row>
    <row r="13" spans="1:72" ht="282" thickTop="1" thickBot="1">
      <c r="A13" s="106"/>
      <c r="B13" s="38">
        <v>7</v>
      </c>
      <c r="C13" s="139" t="s">
        <v>258</v>
      </c>
      <c r="D13" s="38" t="s">
        <v>229</v>
      </c>
      <c r="E13" s="39" t="s">
        <v>230</v>
      </c>
      <c r="F13" s="40">
        <v>44277</v>
      </c>
      <c r="G13" s="40">
        <v>45562</v>
      </c>
      <c r="H13" s="41" t="s">
        <v>259</v>
      </c>
      <c r="I13" s="42" t="s">
        <v>176</v>
      </c>
      <c r="J13" s="39" t="s">
        <v>177</v>
      </c>
      <c r="K13" s="38" t="s">
        <v>232</v>
      </c>
      <c r="L13" s="38" t="s">
        <v>233</v>
      </c>
      <c r="M13" s="43" t="s">
        <v>260</v>
      </c>
      <c r="N13" s="70" t="s">
        <v>261</v>
      </c>
      <c r="O13" s="38" t="s">
        <v>262</v>
      </c>
      <c r="P13" s="41"/>
      <c r="Q13" s="41"/>
      <c r="R13" s="38" t="s">
        <v>263</v>
      </c>
      <c r="S13" s="38" t="s">
        <v>264</v>
      </c>
      <c r="T13" s="73" t="s">
        <v>265</v>
      </c>
      <c r="U13" s="73" t="s">
        <v>266</v>
      </c>
      <c r="V13" s="73" t="s">
        <v>240</v>
      </c>
      <c r="W13" s="44" t="s">
        <v>89</v>
      </c>
      <c r="X13" s="113" t="s">
        <v>241</v>
      </c>
      <c r="Y13" s="73" t="s">
        <v>80</v>
      </c>
      <c r="Z13" s="73" t="s">
        <v>189</v>
      </c>
      <c r="AA13" s="73" t="s">
        <v>267</v>
      </c>
      <c r="AB13" s="74" t="s">
        <v>268</v>
      </c>
      <c r="AC13" s="73" t="s">
        <v>269</v>
      </c>
      <c r="AD13" s="74" t="s">
        <v>270</v>
      </c>
      <c r="AE13" s="114" t="s">
        <v>271</v>
      </c>
      <c r="AF13" s="74" t="s">
        <v>272</v>
      </c>
      <c r="AG13" s="73" t="s">
        <v>273</v>
      </c>
      <c r="AH13" s="74" t="s">
        <v>274</v>
      </c>
      <c r="AI13" s="116" t="s">
        <v>275</v>
      </c>
      <c r="AJ13" s="74" t="s">
        <v>276</v>
      </c>
      <c r="AK13" s="73" t="s">
        <v>189</v>
      </c>
      <c r="AL13" s="73" t="s">
        <v>199</v>
      </c>
      <c r="AM13" s="104" t="s">
        <v>277</v>
      </c>
      <c r="AN13" s="132">
        <v>2</v>
      </c>
      <c r="AO13" s="132">
        <v>0</v>
      </c>
      <c r="AP13" s="133">
        <f t="shared" si="17"/>
        <v>0</v>
      </c>
      <c r="AQ13" s="132">
        <v>0</v>
      </c>
      <c r="AR13" s="133">
        <f t="shared" si="0"/>
        <v>0</v>
      </c>
      <c r="AS13" s="132">
        <v>2</v>
      </c>
      <c r="AT13" s="133">
        <f t="shared" si="0"/>
        <v>4</v>
      </c>
      <c r="AU13" s="132">
        <v>0</v>
      </c>
      <c r="AV13" s="133">
        <f t="shared" si="0"/>
        <v>0</v>
      </c>
      <c r="AW13" s="132">
        <v>0</v>
      </c>
      <c r="AX13" s="133">
        <f t="shared" si="0"/>
        <v>0</v>
      </c>
      <c r="AY13" s="132">
        <v>0</v>
      </c>
      <c r="AZ13" s="133">
        <f t="shared" si="1"/>
        <v>0</v>
      </c>
      <c r="BA13" s="132">
        <v>0</v>
      </c>
      <c r="BB13" s="133">
        <f t="shared" si="2"/>
        <v>0</v>
      </c>
      <c r="BC13" s="132">
        <v>0</v>
      </c>
      <c r="BD13" s="133">
        <f t="shared" si="3"/>
        <v>0</v>
      </c>
      <c r="BE13" s="132">
        <v>0</v>
      </c>
      <c r="BF13" s="133">
        <f t="shared" si="4"/>
        <v>0</v>
      </c>
      <c r="BG13" s="132">
        <v>0</v>
      </c>
      <c r="BH13" s="133">
        <f t="shared" si="5"/>
        <v>0</v>
      </c>
      <c r="BI13" s="89">
        <f t="shared" si="6"/>
        <v>4</v>
      </c>
      <c r="BJ13" s="83"/>
      <c r="BK13" s="89">
        <v>1</v>
      </c>
      <c r="BL13" s="134"/>
      <c r="BM13" s="85"/>
      <c r="BN13" s="85"/>
      <c r="BO13" s="85" t="s">
        <v>202</v>
      </c>
      <c r="BP13" s="134"/>
      <c r="BQ13" s="85"/>
      <c r="BR13" s="85" t="s">
        <v>202</v>
      </c>
      <c r="BS13" s="85"/>
      <c r="BT13" s="135"/>
    </row>
    <row r="14" spans="1:72" ht="205.5" thickTop="1" thickBot="1">
      <c r="A14" s="106"/>
      <c r="B14" s="45">
        <v>8</v>
      </c>
      <c r="C14" s="140" t="s">
        <v>278</v>
      </c>
      <c r="D14" s="45" t="s">
        <v>229</v>
      </c>
      <c r="E14" s="46" t="s">
        <v>230</v>
      </c>
      <c r="F14" s="47">
        <v>45078</v>
      </c>
      <c r="G14" s="47"/>
      <c r="H14" s="48"/>
      <c r="I14" s="49" t="s">
        <v>176</v>
      </c>
      <c r="J14" s="46" t="s">
        <v>177</v>
      </c>
      <c r="K14" s="45" t="s">
        <v>232</v>
      </c>
      <c r="L14" s="45" t="s">
        <v>233</v>
      </c>
      <c r="M14" s="50" t="s">
        <v>260</v>
      </c>
      <c r="N14" s="71" t="s">
        <v>261</v>
      </c>
      <c r="O14" s="72" t="s">
        <v>279</v>
      </c>
      <c r="P14" s="48"/>
      <c r="Q14" s="48"/>
      <c r="R14" s="45" t="s">
        <v>280</v>
      </c>
      <c r="S14" s="45" t="s">
        <v>281</v>
      </c>
      <c r="T14" s="45" t="s">
        <v>282</v>
      </c>
      <c r="U14" s="45" t="s">
        <v>283</v>
      </c>
      <c r="V14" s="45" t="s">
        <v>240</v>
      </c>
      <c r="W14" s="51" t="s">
        <v>89</v>
      </c>
      <c r="X14" s="110" t="s">
        <v>241</v>
      </c>
      <c r="Y14" s="72" t="s">
        <v>80</v>
      </c>
      <c r="Z14" s="72" t="s">
        <v>189</v>
      </c>
      <c r="AA14" s="72" t="s">
        <v>284</v>
      </c>
      <c r="AB14" s="111" t="s">
        <v>285</v>
      </c>
      <c r="AC14" s="72" t="s">
        <v>226</v>
      </c>
      <c r="AD14" s="111" t="s">
        <v>270</v>
      </c>
      <c r="AE14" s="103" t="s">
        <v>227</v>
      </c>
      <c r="AF14" s="111" t="s">
        <v>226</v>
      </c>
      <c r="AG14" s="72" t="s">
        <v>196</v>
      </c>
      <c r="AH14" s="111" t="s">
        <v>226</v>
      </c>
      <c r="AI14" s="115" t="s">
        <v>286</v>
      </c>
      <c r="AJ14" s="111" t="s">
        <v>199</v>
      </c>
      <c r="AK14" s="72" t="s">
        <v>189</v>
      </c>
      <c r="AL14" s="72" t="s">
        <v>199</v>
      </c>
      <c r="AM14" s="112" t="s">
        <v>287</v>
      </c>
      <c r="AN14" s="136">
        <v>2</v>
      </c>
      <c r="AO14" s="136">
        <v>0</v>
      </c>
      <c r="AP14" s="136">
        <f t="shared" si="17"/>
        <v>0</v>
      </c>
      <c r="AQ14" s="136">
        <v>0</v>
      </c>
      <c r="AR14" s="136">
        <f t="shared" si="0"/>
        <v>0</v>
      </c>
      <c r="AS14" s="136">
        <v>0</v>
      </c>
      <c r="AT14" s="136">
        <f t="shared" si="0"/>
        <v>0</v>
      </c>
      <c r="AU14" s="136">
        <v>0</v>
      </c>
      <c r="AV14" s="136">
        <f t="shared" si="0"/>
        <v>0</v>
      </c>
      <c r="AW14" s="136">
        <v>2</v>
      </c>
      <c r="AX14" s="136">
        <f t="shared" si="0"/>
        <v>4</v>
      </c>
      <c r="AY14" s="136">
        <v>0</v>
      </c>
      <c r="AZ14" s="136">
        <f t="shared" si="1"/>
        <v>0</v>
      </c>
      <c r="BA14" s="136">
        <v>0</v>
      </c>
      <c r="BB14" s="136">
        <f t="shared" si="2"/>
        <v>0</v>
      </c>
      <c r="BC14" s="136">
        <v>0</v>
      </c>
      <c r="BD14" s="136">
        <f t="shared" si="3"/>
        <v>0</v>
      </c>
      <c r="BE14" s="136">
        <v>0</v>
      </c>
      <c r="BF14" s="136">
        <f t="shared" si="4"/>
        <v>0</v>
      </c>
      <c r="BG14" s="136">
        <v>0</v>
      </c>
      <c r="BH14" s="136">
        <f t="shared" si="5"/>
        <v>0</v>
      </c>
      <c r="BI14" s="88">
        <f t="shared" si="6"/>
        <v>4</v>
      </c>
      <c r="BJ14" s="82"/>
      <c r="BK14" s="88">
        <v>1</v>
      </c>
      <c r="BL14" s="137"/>
      <c r="BM14" s="84"/>
      <c r="BN14" s="84"/>
      <c r="BO14" s="84" t="s">
        <v>202</v>
      </c>
      <c r="BP14" s="137"/>
      <c r="BQ14" s="84"/>
      <c r="BR14" s="84" t="s">
        <v>202</v>
      </c>
      <c r="BS14" s="84"/>
      <c r="BT14" s="138"/>
    </row>
    <row r="15" spans="1:72" ht="231" thickTop="1" thickBot="1">
      <c r="A15" s="106"/>
      <c r="B15" s="38">
        <v>9</v>
      </c>
      <c r="C15" s="139" t="s">
        <v>221</v>
      </c>
      <c r="D15" s="38" t="s">
        <v>229</v>
      </c>
      <c r="E15" s="39" t="s">
        <v>230</v>
      </c>
      <c r="F15" s="40">
        <v>45090</v>
      </c>
      <c r="G15" s="40" t="s">
        <v>288</v>
      </c>
      <c r="H15" s="41" t="s">
        <v>289</v>
      </c>
      <c r="I15" s="42" t="s">
        <v>176</v>
      </c>
      <c r="J15" s="39" t="s">
        <v>177</v>
      </c>
      <c r="K15" s="38" t="s">
        <v>290</v>
      </c>
      <c r="L15" s="38" t="s">
        <v>233</v>
      </c>
      <c r="M15" s="43" t="s">
        <v>291</v>
      </c>
      <c r="N15" s="70" t="s">
        <v>229</v>
      </c>
      <c r="O15" s="38" t="s">
        <v>292</v>
      </c>
      <c r="P15" s="41"/>
      <c r="Q15" s="41"/>
      <c r="R15" s="38"/>
      <c r="S15" s="38"/>
      <c r="T15" s="73"/>
      <c r="U15" s="73" t="s">
        <v>293</v>
      </c>
      <c r="V15" s="73" t="s">
        <v>77</v>
      </c>
      <c r="W15" s="44" t="s">
        <v>89</v>
      </c>
      <c r="X15" s="113" t="s">
        <v>241</v>
      </c>
      <c r="Y15" s="73" t="s">
        <v>80</v>
      </c>
      <c r="Z15" s="73" t="s">
        <v>189</v>
      </c>
      <c r="AA15" s="73" t="s">
        <v>199</v>
      </c>
      <c r="AB15" s="74" t="s">
        <v>199</v>
      </c>
      <c r="AC15" s="73" t="s">
        <v>226</v>
      </c>
      <c r="AD15" s="74" t="s">
        <v>294</v>
      </c>
      <c r="AE15" s="114" t="s">
        <v>227</v>
      </c>
      <c r="AF15" s="74" t="s">
        <v>226</v>
      </c>
      <c r="AG15" s="73" t="s">
        <v>196</v>
      </c>
      <c r="AH15" s="74" t="s">
        <v>226</v>
      </c>
      <c r="AI15" s="116" t="s">
        <v>295</v>
      </c>
      <c r="AJ15" s="74" t="s">
        <v>199</v>
      </c>
      <c r="AK15" s="73" t="s">
        <v>189</v>
      </c>
      <c r="AL15" s="73" t="s">
        <v>199</v>
      </c>
      <c r="AM15" s="104"/>
      <c r="AN15" s="132">
        <v>2</v>
      </c>
      <c r="AO15" s="132">
        <v>0</v>
      </c>
      <c r="AP15" s="133">
        <f t="shared" si="17"/>
        <v>0</v>
      </c>
      <c r="AQ15" s="132">
        <v>0</v>
      </c>
      <c r="AR15" s="133">
        <f t="shared" si="0"/>
        <v>0</v>
      </c>
      <c r="AS15" s="132">
        <v>0</v>
      </c>
      <c r="AT15" s="133">
        <f t="shared" si="0"/>
        <v>0</v>
      </c>
      <c r="AU15" s="132">
        <v>0</v>
      </c>
      <c r="AV15" s="133">
        <f t="shared" si="0"/>
        <v>0</v>
      </c>
      <c r="AW15" s="132">
        <v>0</v>
      </c>
      <c r="AX15" s="133">
        <f t="shared" si="0"/>
        <v>0</v>
      </c>
      <c r="AY15" s="132">
        <v>0</v>
      </c>
      <c r="AZ15" s="133">
        <f t="shared" si="1"/>
        <v>0</v>
      </c>
      <c r="BA15" s="132">
        <v>0</v>
      </c>
      <c r="BB15" s="133">
        <f t="shared" si="2"/>
        <v>0</v>
      </c>
      <c r="BC15" s="132">
        <v>0</v>
      </c>
      <c r="BD15" s="133">
        <f t="shared" si="3"/>
        <v>0</v>
      </c>
      <c r="BE15" s="132">
        <v>0</v>
      </c>
      <c r="BF15" s="133">
        <f t="shared" si="4"/>
        <v>0</v>
      </c>
      <c r="BG15" s="132">
        <v>0</v>
      </c>
      <c r="BH15" s="133">
        <f t="shared" si="5"/>
        <v>0</v>
      </c>
      <c r="BI15" s="89">
        <f t="shared" si="6"/>
        <v>0</v>
      </c>
      <c r="BJ15" s="83"/>
      <c r="BK15" s="89">
        <v>1</v>
      </c>
      <c r="BL15" s="134"/>
      <c r="BM15" s="85"/>
      <c r="BN15" s="85"/>
      <c r="BO15" s="85" t="s">
        <v>202</v>
      </c>
      <c r="BP15" s="134"/>
      <c r="BQ15" s="85"/>
      <c r="BR15" s="85" t="s">
        <v>202</v>
      </c>
      <c r="BS15" s="85"/>
      <c r="BT15" s="135"/>
    </row>
    <row r="16" spans="1:72" ht="307.5" thickTop="1" thickBot="1">
      <c r="A16" s="106"/>
      <c r="B16" s="45">
        <v>10</v>
      </c>
      <c r="C16" s="140" t="s">
        <v>296</v>
      </c>
      <c r="D16" s="45" t="s">
        <v>229</v>
      </c>
      <c r="E16" s="46" t="s">
        <v>230</v>
      </c>
      <c r="F16" s="47">
        <v>45090</v>
      </c>
      <c r="G16" s="47">
        <v>45090</v>
      </c>
      <c r="H16" s="48" t="s">
        <v>297</v>
      </c>
      <c r="I16" s="49" t="s">
        <v>176</v>
      </c>
      <c r="J16" s="46" t="s">
        <v>177</v>
      </c>
      <c r="K16" s="45" t="s">
        <v>232</v>
      </c>
      <c r="L16" s="45" t="s">
        <v>233</v>
      </c>
      <c r="M16" s="50" t="s">
        <v>291</v>
      </c>
      <c r="N16" s="71" t="s">
        <v>229</v>
      </c>
      <c r="O16" s="72" t="s">
        <v>298</v>
      </c>
      <c r="P16" s="48"/>
      <c r="Q16" s="48"/>
      <c r="R16" s="45" t="s">
        <v>299</v>
      </c>
      <c r="S16" s="45" t="s">
        <v>237</v>
      </c>
      <c r="T16" s="45" t="s">
        <v>300</v>
      </c>
      <c r="U16" s="45" t="s">
        <v>301</v>
      </c>
      <c r="V16" s="45" t="s">
        <v>240</v>
      </c>
      <c r="W16" s="51" t="s">
        <v>89</v>
      </c>
      <c r="X16" s="110" t="s">
        <v>241</v>
      </c>
      <c r="Y16" s="72" t="s">
        <v>80</v>
      </c>
      <c r="Z16" s="72" t="s">
        <v>189</v>
      </c>
      <c r="AA16" s="72" t="s">
        <v>302</v>
      </c>
      <c r="AB16" s="111" t="s">
        <v>303</v>
      </c>
      <c r="AC16" s="72" t="s">
        <v>304</v>
      </c>
      <c r="AD16" s="111" t="s">
        <v>294</v>
      </c>
      <c r="AE16" s="103" t="s">
        <v>227</v>
      </c>
      <c r="AF16" s="111" t="s">
        <v>226</v>
      </c>
      <c r="AG16" s="72" t="s">
        <v>196</v>
      </c>
      <c r="AH16" s="111" t="s">
        <v>226</v>
      </c>
      <c r="AI16" s="115" t="s">
        <v>305</v>
      </c>
      <c r="AJ16" s="111" t="s">
        <v>199</v>
      </c>
      <c r="AK16" s="72" t="s">
        <v>189</v>
      </c>
      <c r="AL16" s="72" t="s">
        <v>199</v>
      </c>
      <c r="AM16" s="112"/>
      <c r="AN16" s="136">
        <v>2</v>
      </c>
      <c r="AO16" s="136">
        <v>0</v>
      </c>
      <c r="AP16" s="136">
        <f t="shared" si="17"/>
        <v>0</v>
      </c>
      <c r="AQ16" s="136">
        <v>0</v>
      </c>
      <c r="AR16" s="136">
        <f t="shared" si="0"/>
        <v>0</v>
      </c>
      <c r="AS16" s="136">
        <v>0</v>
      </c>
      <c r="AT16" s="136">
        <f t="shared" si="0"/>
        <v>0</v>
      </c>
      <c r="AU16" s="136">
        <v>0</v>
      </c>
      <c r="AV16" s="136">
        <f t="shared" si="0"/>
        <v>0</v>
      </c>
      <c r="AW16" s="136">
        <v>0</v>
      </c>
      <c r="AX16" s="136">
        <f t="shared" si="0"/>
        <v>0</v>
      </c>
      <c r="AY16" s="136">
        <v>0</v>
      </c>
      <c r="AZ16" s="136">
        <f t="shared" si="1"/>
        <v>0</v>
      </c>
      <c r="BA16" s="136">
        <v>0</v>
      </c>
      <c r="BB16" s="136">
        <f t="shared" si="2"/>
        <v>0</v>
      </c>
      <c r="BC16" s="136">
        <v>0</v>
      </c>
      <c r="BD16" s="136">
        <f t="shared" si="3"/>
        <v>0</v>
      </c>
      <c r="BE16" s="136">
        <v>0</v>
      </c>
      <c r="BF16" s="136">
        <f t="shared" si="4"/>
        <v>0</v>
      </c>
      <c r="BG16" s="136">
        <v>0</v>
      </c>
      <c r="BH16" s="136">
        <f t="shared" si="5"/>
        <v>0</v>
      </c>
      <c r="BI16" s="88">
        <f t="shared" si="6"/>
        <v>0</v>
      </c>
      <c r="BJ16" s="82"/>
      <c r="BK16" s="88">
        <v>1</v>
      </c>
      <c r="BL16" s="137"/>
      <c r="BM16" s="84"/>
      <c r="BN16" s="84"/>
      <c r="BO16" s="84" t="s">
        <v>202</v>
      </c>
      <c r="BP16" s="137"/>
      <c r="BQ16" s="84"/>
      <c r="BR16" s="84" t="s">
        <v>202</v>
      </c>
      <c r="BS16" s="84"/>
      <c r="BT16" s="138"/>
    </row>
    <row r="17" spans="1:72" ht="243.75" thickTop="1" thickBot="1">
      <c r="A17" s="106"/>
      <c r="B17" s="38">
        <v>11</v>
      </c>
      <c r="C17" s="139" t="s">
        <v>306</v>
      </c>
      <c r="D17" s="38" t="s">
        <v>229</v>
      </c>
      <c r="E17" s="39" t="s">
        <v>230</v>
      </c>
      <c r="F17" s="40">
        <v>45076</v>
      </c>
      <c r="G17" s="40">
        <v>45561</v>
      </c>
      <c r="H17" s="41" t="s">
        <v>307</v>
      </c>
      <c r="I17" s="42" t="s">
        <v>176</v>
      </c>
      <c r="J17" s="39" t="s">
        <v>177</v>
      </c>
      <c r="K17" s="38" t="s">
        <v>232</v>
      </c>
      <c r="L17" s="38" t="s">
        <v>233</v>
      </c>
      <c r="M17" s="43" t="s">
        <v>234</v>
      </c>
      <c r="N17" s="70" t="s">
        <v>229</v>
      </c>
      <c r="O17" s="38" t="s">
        <v>308</v>
      </c>
      <c r="P17" s="41"/>
      <c r="Q17" s="41"/>
      <c r="R17" s="38" t="s">
        <v>236</v>
      </c>
      <c r="S17" s="38" t="s">
        <v>237</v>
      </c>
      <c r="T17" s="73" t="s">
        <v>309</v>
      </c>
      <c r="U17" s="73" t="s">
        <v>310</v>
      </c>
      <c r="V17" s="73" t="s">
        <v>240</v>
      </c>
      <c r="W17" s="44" t="s">
        <v>89</v>
      </c>
      <c r="X17" s="113" t="s">
        <v>241</v>
      </c>
      <c r="Y17" s="73" t="s">
        <v>80</v>
      </c>
      <c r="Z17" s="73" t="s">
        <v>189</v>
      </c>
      <c r="AA17" s="73" t="s">
        <v>311</v>
      </c>
      <c r="AB17" s="74" t="s">
        <v>312</v>
      </c>
      <c r="AC17" s="73" t="s">
        <v>226</v>
      </c>
      <c r="AD17" s="74" t="s">
        <v>244</v>
      </c>
      <c r="AE17" s="114" t="s">
        <v>227</v>
      </c>
      <c r="AF17" s="74" t="s">
        <v>226</v>
      </c>
      <c r="AG17" s="73" t="s">
        <v>196</v>
      </c>
      <c r="AH17" s="74" t="s">
        <v>226</v>
      </c>
      <c r="AI17" s="116" t="s">
        <v>245</v>
      </c>
      <c r="AJ17" s="74" t="s">
        <v>199</v>
      </c>
      <c r="AK17" s="73" t="s">
        <v>189</v>
      </c>
      <c r="AL17" s="73" t="s">
        <v>199</v>
      </c>
      <c r="AM17" s="104"/>
      <c r="AN17" s="132">
        <v>2</v>
      </c>
      <c r="AO17" s="132">
        <v>0</v>
      </c>
      <c r="AP17" s="133">
        <f t="shared" si="17"/>
        <v>0</v>
      </c>
      <c r="AQ17" s="132">
        <v>0</v>
      </c>
      <c r="AR17" s="133">
        <f t="shared" si="0"/>
        <v>0</v>
      </c>
      <c r="AS17" s="132">
        <v>0</v>
      </c>
      <c r="AT17" s="133">
        <f t="shared" si="0"/>
        <v>0</v>
      </c>
      <c r="AU17" s="132">
        <v>0</v>
      </c>
      <c r="AV17" s="133">
        <f t="shared" si="0"/>
        <v>0</v>
      </c>
      <c r="AW17" s="132">
        <v>0</v>
      </c>
      <c r="AX17" s="133">
        <f t="shared" si="0"/>
        <v>0</v>
      </c>
      <c r="AY17" s="132">
        <v>0</v>
      </c>
      <c r="AZ17" s="133">
        <f t="shared" si="1"/>
        <v>0</v>
      </c>
      <c r="BA17" s="132">
        <v>0</v>
      </c>
      <c r="BB17" s="133">
        <f t="shared" si="2"/>
        <v>0</v>
      </c>
      <c r="BC17" s="132">
        <v>0</v>
      </c>
      <c r="BD17" s="133">
        <f t="shared" si="3"/>
        <v>0</v>
      </c>
      <c r="BE17" s="132">
        <v>0</v>
      </c>
      <c r="BF17" s="133">
        <f t="shared" si="4"/>
        <v>0</v>
      </c>
      <c r="BG17" s="132">
        <v>0</v>
      </c>
      <c r="BH17" s="133">
        <f t="shared" si="5"/>
        <v>0</v>
      </c>
      <c r="BI17" s="89">
        <f t="shared" si="6"/>
        <v>0</v>
      </c>
      <c r="BJ17" s="83"/>
      <c r="BK17" s="89">
        <v>1</v>
      </c>
      <c r="BL17" s="134"/>
      <c r="BM17" s="85"/>
      <c r="BN17" s="85"/>
      <c r="BO17" s="85" t="s">
        <v>202</v>
      </c>
      <c r="BP17" s="134"/>
      <c r="BQ17" s="85"/>
      <c r="BR17" s="85" t="s">
        <v>202</v>
      </c>
      <c r="BS17" s="85"/>
      <c r="BT17" s="135"/>
    </row>
    <row r="18" spans="1:72" ht="243.75" thickTop="1" thickBot="1">
      <c r="A18" s="106"/>
      <c r="B18" s="45">
        <v>12</v>
      </c>
      <c r="C18" s="140" t="s">
        <v>313</v>
      </c>
      <c r="D18" s="45" t="s">
        <v>229</v>
      </c>
      <c r="E18" s="46" t="s">
        <v>230</v>
      </c>
      <c r="F18" s="47">
        <v>45076</v>
      </c>
      <c r="G18" s="47">
        <v>45468</v>
      </c>
      <c r="H18" s="48" t="s">
        <v>314</v>
      </c>
      <c r="I18" s="49" t="s">
        <v>176</v>
      </c>
      <c r="J18" s="46" t="s">
        <v>177</v>
      </c>
      <c r="K18" s="45" t="s">
        <v>232</v>
      </c>
      <c r="L18" s="45" t="s">
        <v>233</v>
      </c>
      <c r="M18" s="50" t="s">
        <v>234</v>
      </c>
      <c r="N18" s="71" t="s">
        <v>229</v>
      </c>
      <c r="O18" s="72" t="s">
        <v>308</v>
      </c>
      <c r="P18" s="48"/>
      <c r="Q18" s="48"/>
      <c r="R18" s="45" t="s">
        <v>315</v>
      </c>
      <c r="S18" s="45" t="s">
        <v>316</v>
      </c>
      <c r="T18" s="45" t="s">
        <v>317</v>
      </c>
      <c r="U18" s="45" t="s">
        <v>318</v>
      </c>
      <c r="V18" s="45" t="s">
        <v>240</v>
      </c>
      <c r="W18" s="51" t="s">
        <v>89</v>
      </c>
      <c r="X18" s="110" t="s">
        <v>241</v>
      </c>
      <c r="Y18" s="72" t="s">
        <v>80</v>
      </c>
      <c r="Z18" s="72" t="s">
        <v>189</v>
      </c>
      <c r="AA18" s="72" t="s">
        <v>319</v>
      </c>
      <c r="AB18" s="111" t="s">
        <v>320</v>
      </c>
      <c r="AC18" s="72" t="s">
        <v>321</v>
      </c>
      <c r="AD18" s="111" t="s">
        <v>322</v>
      </c>
      <c r="AE18" s="103" t="s">
        <v>227</v>
      </c>
      <c r="AF18" s="111" t="s">
        <v>226</v>
      </c>
      <c r="AG18" s="72" t="s">
        <v>196</v>
      </c>
      <c r="AH18" s="111" t="s">
        <v>226</v>
      </c>
      <c r="AI18" s="115" t="s">
        <v>245</v>
      </c>
      <c r="AJ18" s="111" t="s">
        <v>199</v>
      </c>
      <c r="AK18" s="72" t="s">
        <v>189</v>
      </c>
      <c r="AL18" s="72" t="s">
        <v>199</v>
      </c>
      <c r="AM18" s="112"/>
      <c r="AN18" s="136"/>
      <c r="AO18" s="136">
        <v>0</v>
      </c>
      <c r="AP18" s="136">
        <f t="shared" si="17"/>
        <v>0</v>
      </c>
      <c r="AQ18" s="136">
        <v>0</v>
      </c>
      <c r="AR18" s="136"/>
      <c r="AS18" s="136">
        <v>0</v>
      </c>
      <c r="AT18" s="136"/>
      <c r="AU18" s="136">
        <v>0</v>
      </c>
      <c r="AV18" s="136"/>
      <c r="AW18" s="136">
        <v>0</v>
      </c>
      <c r="AX18" s="136"/>
      <c r="AY18" s="136">
        <v>0</v>
      </c>
      <c r="AZ18" s="136"/>
      <c r="BA18" s="136">
        <v>0</v>
      </c>
      <c r="BB18" s="136"/>
      <c r="BC18" s="136">
        <v>0</v>
      </c>
      <c r="BD18" s="136"/>
      <c r="BE18" s="136"/>
      <c r="BF18" s="136"/>
      <c r="BG18" s="136">
        <v>0</v>
      </c>
      <c r="BH18" s="136"/>
      <c r="BI18" s="88"/>
      <c r="BJ18" s="82"/>
      <c r="BK18" s="88">
        <v>1</v>
      </c>
      <c r="BL18" s="137"/>
      <c r="BM18" s="84"/>
      <c r="BN18" s="84"/>
      <c r="BO18" s="84" t="s">
        <v>202</v>
      </c>
      <c r="BP18" s="137"/>
      <c r="BQ18" s="84"/>
      <c r="BR18" s="84" t="s">
        <v>202</v>
      </c>
      <c r="BS18" s="84"/>
      <c r="BT18" s="138"/>
    </row>
    <row r="19" spans="1:72" ht="243.75" thickTop="1" thickBot="1">
      <c r="A19" s="106"/>
      <c r="B19" s="38">
        <v>13</v>
      </c>
      <c r="C19" s="139" t="s">
        <v>323</v>
      </c>
      <c r="D19" s="38" t="s">
        <v>229</v>
      </c>
      <c r="E19" s="39" t="s">
        <v>230</v>
      </c>
      <c r="F19" s="40">
        <v>45582</v>
      </c>
      <c r="G19" s="40">
        <v>45838</v>
      </c>
      <c r="H19" s="41" t="s">
        <v>324</v>
      </c>
      <c r="I19" s="42" t="s">
        <v>176</v>
      </c>
      <c r="J19" s="39" t="s">
        <v>177</v>
      </c>
      <c r="K19" s="38" t="s">
        <v>325</v>
      </c>
      <c r="L19" s="38" t="s">
        <v>233</v>
      </c>
      <c r="M19" s="43" t="s">
        <v>234</v>
      </c>
      <c r="N19" s="70" t="s">
        <v>229</v>
      </c>
      <c r="O19" s="38" t="s">
        <v>308</v>
      </c>
      <c r="P19" s="41"/>
      <c r="Q19" s="41"/>
      <c r="R19" s="38" t="s">
        <v>315</v>
      </c>
      <c r="S19" s="38" t="s">
        <v>316</v>
      </c>
      <c r="T19" s="73" t="s">
        <v>317</v>
      </c>
      <c r="U19" s="73" t="s">
        <v>318</v>
      </c>
      <c r="V19" s="73" t="s">
        <v>240</v>
      </c>
      <c r="W19" s="44" t="s">
        <v>89</v>
      </c>
      <c r="X19" s="113" t="s">
        <v>241</v>
      </c>
      <c r="Y19" s="73" t="s">
        <v>80</v>
      </c>
      <c r="Z19" s="73" t="s">
        <v>189</v>
      </c>
      <c r="AA19" s="73" t="s">
        <v>326</v>
      </c>
      <c r="AB19" s="74" t="s">
        <v>327</v>
      </c>
      <c r="AC19" s="73" t="s">
        <v>199</v>
      </c>
      <c r="AD19" s="74" t="s">
        <v>199</v>
      </c>
      <c r="AE19" s="114" t="s">
        <v>199</v>
      </c>
      <c r="AF19" s="74" t="s">
        <v>328</v>
      </c>
      <c r="AG19" s="73" t="s">
        <v>196</v>
      </c>
      <c r="AH19" s="74" t="s">
        <v>328</v>
      </c>
      <c r="AI19" s="116" t="s">
        <v>329</v>
      </c>
      <c r="AJ19" s="74" t="s">
        <v>199</v>
      </c>
      <c r="AK19" s="73" t="s">
        <v>189</v>
      </c>
      <c r="AL19" s="73" t="s">
        <v>199</v>
      </c>
      <c r="AM19" s="104" t="s">
        <v>330</v>
      </c>
      <c r="AN19" s="132">
        <v>2</v>
      </c>
      <c r="AO19" s="132">
        <v>0</v>
      </c>
      <c r="AP19" s="133">
        <f t="shared" si="17"/>
        <v>0</v>
      </c>
      <c r="AQ19" s="132">
        <v>0</v>
      </c>
      <c r="AR19" s="133">
        <f t="shared" si="0"/>
        <v>0</v>
      </c>
      <c r="AS19" s="132">
        <v>0</v>
      </c>
      <c r="AT19" s="133">
        <f t="shared" si="0"/>
        <v>0</v>
      </c>
      <c r="AU19" s="132">
        <v>0</v>
      </c>
      <c r="AV19" s="133">
        <f t="shared" si="0"/>
        <v>0</v>
      </c>
      <c r="AW19" s="132">
        <v>2</v>
      </c>
      <c r="AX19" s="133">
        <f t="shared" si="0"/>
        <v>4</v>
      </c>
      <c r="AY19" s="132">
        <v>0</v>
      </c>
      <c r="AZ19" s="133">
        <f t="shared" si="1"/>
        <v>0</v>
      </c>
      <c r="BA19" s="132">
        <v>0</v>
      </c>
      <c r="BB19" s="133">
        <f t="shared" si="2"/>
        <v>0</v>
      </c>
      <c r="BC19" s="132">
        <v>0</v>
      </c>
      <c r="BD19" s="133">
        <f t="shared" si="3"/>
        <v>0</v>
      </c>
      <c r="BE19" s="132">
        <v>0</v>
      </c>
      <c r="BF19" s="133">
        <f t="shared" si="4"/>
        <v>0</v>
      </c>
      <c r="BG19" s="132">
        <v>0</v>
      </c>
      <c r="BH19" s="133">
        <f t="shared" si="5"/>
        <v>0</v>
      </c>
      <c r="BI19" s="89">
        <f t="shared" si="6"/>
        <v>4</v>
      </c>
      <c r="BJ19" s="83"/>
      <c r="BK19" s="89">
        <v>1</v>
      </c>
      <c r="BL19" s="134"/>
      <c r="BM19" s="85"/>
      <c r="BN19" s="85"/>
      <c r="BO19" s="85" t="s">
        <v>202</v>
      </c>
      <c r="BP19" s="134"/>
      <c r="BQ19" s="85"/>
      <c r="BR19" s="85" t="s">
        <v>202</v>
      </c>
      <c r="BS19" s="85"/>
      <c r="BT19" s="135"/>
    </row>
    <row r="20" spans="1:72" ht="141.75" thickTop="1" thickBot="1">
      <c r="A20" s="106"/>
      <c r="B20" s="45">
        <v>14</v>
      </c>
      <c r="C20" s="140" t="s">
        <v>203</v>
      </c>
      <c r="D20" s="45" t="s">
        <v>229</v>
      </c>
      <c r="E20" s="46" t="s">
        <v>331</v>
      </c>
      <c r="F20" s="47">
        <v>44277</v>
      </c>
      <c r="G20" s="47">
        <v>45855</v>
      </c>
      <c r="H20" s="48" t="s">
        <v>314</v>
      </c>
      <c r="I20" s="49" t="s">
        <v>176</v>
      </c>
      <c r="J20" s="46" t="s">
        <v>177</v>
      </c>
      <c r="K20" s="45" t="s">
        <v>332</v>
      </c>
      <c r="L20" s="45" t="s">
        <v>333</v>
      </c>
      <c r="M20" s="50" t="s">
        <v>334</v>
      </c>
      <c r="N20" s="71" t="s">
        <v>229</v>
      </c>
      <c r="O20" s="72" t="s">
        <v>335</v>
      </c>
      <c r="P20" s="48"/>
      <c r="Q20" s="48"/>
      <c r="R20" s="45" t="s">
        <v>336</v>
      </c>
      <c r="S20" s="45"/>
      <c r="T20" s="45"/>
      <c r="U20" s="45" t="s">
        <v>337</v>
      </c>
      <c r="V20" s="45" t="s">
        <v>74</v>
      </c>
      <c r="W20" s="51" t="s">
        <v>89</v>
      </c>
      <c r="X20" s="110" t="s">
        <v>241</v>
      </c>
      <c r="Y20" s="72" t="s">
        <v>79</v>
      </c>
      <c r="Z20" s="72" t="s">
        <v>189</v>
      </c>
      <c r="AA20" s="72" t="s">
        <v>338</v>
      </c>
      <c r="AB20" s="111" t="s">
        <v>339</v>
      </c>
      <c r="AC20" s="72" t="s">
        <v>226</v>
      </c>
      <c r="AD20" s="111" t="s">
        <v>340</v>
      </c>
      <c r="AE20" s="103" t="s">
        <v>227</v>
      </c>
      <c r="AF20" s="111" t="s">
        <v>226</v>
      </c>
      <c r="AG20" s="72" t="s">
        <v>196</v>
      </c>
      <c r="AH20" s="111" t="s">
        <v>226</v>
      </c>
      <c r="AI20" s="115" t="s">
        <v>245</v>
      </c>
      <c r="AJ20" s="111" t="s">
        <v>199</v>
      </c>
      <c r="AK20" s="72" t="s">
        <v>189</v>
      </c>
      <c r="AL20" s="72" t="s">
        <v>199</v>
      </c>
      <c r="AM20" s="112" t="s">
        <v>341</v>
      </c>
      <c r="AN20" s="136">
        <v>1</v>
      </c>
      <c r="AO20" s="136">
        <v>0</v>
      </c>
      <c r="AP20" s="136">
        <f t="shared" si="17"/>
        <v>0</v>
      </c>
      <c r="AQ20" s="136">
        <v>0</v>
      </c>
      <c r="AR20" s="136">
        <f t="shared" si="0"/>
        <v>0</v>
      </c>
      <c r="AS20" s="136">
        <v>0</v>
      </c>
      <c r="AT20" s="136">
        <f t="shared" si="0"/>
        <v>0</v>
      </c>
      <c r="AU20" s="136">
        <v>0</v>
      </c>
      <c r="AV20" s="136">
        <f t="shared" si="0"/>
        <v>0</v>
      </c>
      <c r="AW20" s="136">
        <v>2</v>
      </c>
      <c r="AX20" s="136">
        <f t="shared" si="0"/>
        <v>2</v>
      </c>
      <c r="AY20" s="136">
        <v>0</v>
      </c>
      <c r="AZ20" s="136">
        <f t="shared" si="1"/>
        <v>0</v>
      </c>
      <c r="BA20" s="136">
        <v>0</v>
      </c>
      <c r="BB20" s="136">
        <f t="shared" si="2"/>
        <v>0</v>
      </c>
      <c r="BC20" s="136">
        <v>0</v>
      </c>
      <c r="BD20" s="136">
        <f t="shared" si="3"/>
        <v>0</v>
      </c>
      <c r="BE20" s="136">
        <v>0</v>
      </c>
      <c r="BF20" s="136">
        <f t="shared" si="4"/>
        <v>0</v>
      </c>
      <c r="BG20" s="136">
        <v>0</v>
      </c>
      <c r="BH20" s="136">
        <f t="shared" si="5"/>
        <v>0</v>
      </c>
      <c r="BI20" s="88">
        <f t="shared" si="6"/>
        <v>2</v>
      </c>
      <c r="BJ20" s="82" t="s">
        <v>201</v>
      </c>
      <c r="BK20" s="88">
        <v>1</v>
      </c>
      <c r="BL20" s="137"/>
      <c r="BM20" s="84"/>
      <c r="BN20" s="84"/>
      <c r="BO20" s="84" t="s">
        <v>202</v>
      </c>
      <c r="BP20" s="137"/>
      <c r="BQ20" s="84"/>
      <c r="BR20" s="84" t="s">
        <v>202</v>
      </c>
      <c r="BS20" s="84"/>
      <c r="BT20" s="138"/>
    </row>
    <row r="21" spans="1:72" ht="180" thickTop="1" thickBot="1">
      <c r="A21" s="106"/>
      <c r="B21" s="38">
        <v>15</v>
      </c>
      <c r="C21" s="139" t="s">
        <v>217</v>
      </c>
      <c r="D21" s="38" t="s">
        <v>229</v>
      </c>
      <c r="E21" s="39" t="s">
        <v>331</v>
      </c>
      <c r="F21" s="40">
        <v>44277</v>
      </c>
      <c r="G21" s="40">
        <v>45527</v>
      </c>
      <c r="H21" s="41" t="s">
        <v>342</v>
      </c>
      <c r="I21" s="42" t="s">
        <v>176</v>
      </c>
      <c r="J21" s="39" t="s">
        <v>177</v>
      </c>
      <c r="K21" s="38" t="s">
        <v>332</v>
      </c>
      <c r="L21" s="38" t="s">
        <v>333</v>
      </c>
      <c r="M21" s="43" t="s">
        <v>334</v>
      </c>
      <c r="N21" s="70" t="s">
        <v>229</v>
      </c>
      <c r="O21" s="38" t="s">
        <v>335</v>
      </c>
      <c r="P21" s="41"/>
      <c r="Q21" s="41"/>
      <c r="R21" s="38" t="s">
        <v>343</v>
      </c>
      <c r="S21" s="38"/>
      <c r="T21" s="73"/>
      <c r="U21" s="73"/>
      <c r="V21" s="73" t="s">
        <v>74</v>
      </c>
      <c r="W21" s="44" t="s">
        <v>89</v>
      </c>
      <c r="X21" s="113" t="s">
        <v>344</v>
      </c>
      <c r="Y21" s="73" t="s">
        <v>79</v>
      </c>
      <c r="Z21" s="73" t="s">
        <v>189</v>
      </c>
      <c r="AA21" s="73" t="s">
        <v>345</v>
      </c>
      <c r="AB21" s="74" t="s">
        <v>346</v>
      </c>
      <c r="AC21" s="73" t="s">
        <v>226</v>
      </c>
      <c r="AD21" s="74" t="s">
        <v>340</v>
      </c>
      <c r="AE21" s="114" t="s">
        <v>227</v>
      </c>
      <c r="AF21" s="74" t="s">
        <v>226</v>
      </c>
      <c r="AG21" s="73" t="s">
        <v>196</v>
      </c>
      <c r="AH21" s="74" t="s">
        <v>226</v>
      </c>
      <c r="AI21" s="116" t="s">
        <v>347</v>
      </c>
      <c r="AJ21" s="74" t="s">
        <v>348</v>
      </c>
      <c r="AK21" s="73" t="s">
        <v>189</v>
      </c>
      <c r="AL21" s="73" t="s">
        <v>199</v>
      </c>
      <c r="AM21" s="104"/>
      <c r="AN21" s="132">
        <v>1</v>
      </c>
      <c r="AO21" s="132">
        <v>0</v>
      </c>
      <c r="AP21" s="133">
        <f t="shared" si="17"/>
        <v>0</v>
      </c>
      <c r="AQ21" s="132">
        <v>0</v>
      </c>
      <c r="AR21" s="133">
        <f t="shared" si="0"/>
        <v>0</v>
      </c>
      <c r="AS21" s="132">
        <v>0</v>
      </c>
      <c r="AT21" s="133">
        <f t="shared" si="0"/>
        <v>0</v>
      </c>
      <c r="AU21" s="132">
        <v>0</v>
      </c>
      <c r="AV21" s="133">
        <f t="shared" si="0"/>
        <v>0</v>
      </c>
      <c r="AW21" s="132">
        <v>0</v>
      </c>
      <c r="AX21" s="133">
        <f t="shared" si="0"/>
        <v>0</v>
      </c>
      <c r="AY21" s="132">
        <v>0</v>
      </c>
      <c r="AZ21" s="133">
        <f t="shared" si="1"/>
        <v>0</v>
      </c>
      <c r="BA21" s="132">
        <v>0</v>
      </c>
      <c r="BB21" s="133">
        <f t="shared" si="2"/>
        <v>0</v>
      </c>
      <c r="BC21" s="132">
        <v>1</v>
      </c>
      <c r="BD21" s="133">
        <f t="shared" si="3"/>
        <v>1</v>
      </c>
      <c r="BE21" s="132">
        <v>0</v>
      </c>
      <c r="BF21" s="133">
        <f t="shared" si="4"/>
        <v>0</v>
      </c>
      <c r="BG21" s="132">
        <v>0</v>
      </c>
      <c r="BH21" s="133">
        <f t="shared" si="5"/>
        <v>0</v>
      </c>
      <c r="BI21" s="89">
        <f t="shared" si="6"/>
        <v>1</v>
      </c>
      <c r="BJ21" s="83" t="s">
        <v>201</v>
      </c>
      <c r="BK21" s="89">
        <v>1</v>
      </c>
      <c r="BL21" s="134"/>
      <c r="BM21" s="85"/>
      <c r="BN21" s="85"/>
      <c r="BO21" s="85" t="s">
        <v>202</v>
      </c>
      <c r="BP21" s="134"/>
      <c r="BQ21" s="85"/>
      <c r="BR21" s="85" t="s">
        <v>202</v>
      </c>
      <c r="BS21" s="85"/>
      <c r="BT21" s="135"/>
    </row>
    <row r="22" spans="1:72" ht="307.5" thickTop="1" thickBot="1">
      <c r="A22" s="106"/>
      <c r="B22" s="45">
        <v>16</v>
      </c>
      <c r="C22" s="140" t="s">
        <v>258</v>
      </c>
      <c r="D22" s="45" t="s">
        <v>229</v>
      </c>
      <c r="E22" s="46" t="s">
        <v>331</v>
      </c>
      <c r="F22" s="47">
        <v>44277</v>
      </c>
      <c r="G22" s="47">
        <v>45562</v>
      </c>
      <c r="H22" s="48" t="s">
        <v>349</v>
      </c>
      <c r="I22" s="49" t="s">
        <v>176</v>
      </c>
      <c r="J22" s="46" t="s">
        <v>177</v>
      </c>
      <c r="K22" s="45" t="s">
        <v>332</v>
      </c>
      <c r="L22" s="45" t="s">
        <v>333</v>
      </c>
      <c r="M22" s="50" t="s">
        <v>350</v>
      </c>
      <c r="N22" s="71" t="s">
        <v>351</v>
      </c>
      <c r="O22" s="72" t="s">
        <v>352</v>
      </c>
      <c r="P22" s="48"/>
      <c r="Q22" s="48"/>
      <c r="R22" s="45" t="s">
        <v>263</v>
      </c>
      <c r="S22" s="45"/>
      <c r="T22" s="45" t="s">
        <v>353</v>
      </c>
      <c r="U22" s="45" t="s">
        <v>354</v>
      </c>
      <c r="V22" s="45" t="s">
        <v>74</v>
      </c>
      <c r="W22" s="51" t="s">
        <v>89</v>
      </c>
      <c r="X22" s="110" t="s">
        <v>355</v>
      </c>
      <c r="Y22" s="72" t="s">
        <v>79</v>
      </c>
      <c r="Z22" s="72" t="s">
        <v>189</v>
      </c>
      <c r="AA22" s="72" t="s">
        <v>356</v>
      </c>
      <c r="AB22" s="111" t="s">
        <v>357</v>
      </c>
      <c r="AC22" s="72" t="s">
        <v>358</v>
      </c>
      <c r="AD22" s="111" t="s">
        <v>359</v>
      </c>
      <c r="AE22" s="103" t="s">
        <v>271</v>
      </c>
      <c r="AF22" s="111" t="s">
        <v>272</v>
      </c>
      <c r="AG22" s="72" t="s">
        <v>273</v>
      </c>
      <c r="AH22" s="111" t="s">
        <v>274</v>
      </c>
      <c r="AI22" s="115" t="s">
        <v>360</v>
      </c>
      <c r="AJ22" s="111" t="s">
        <v>199</v>
      </c>
      <c r="AK22" s="72" t="s">
        <v>189</v>
      </c>
      <c r="AL22" s="72" t="s">
        <v>199</v>
      </c>
      <c r="AM22" s="112"/>
      <c r="AN22" s="136">
        <v>1</v>
      </c>
      <c r="AO22" s="136">
        <v>0</v>
      </c>
      <c r="AP22" s="136">
        <f t="shared" si="17"/>
        <v>0</v>
      </c>
      <c r="AQ22" s="136">
        <v>0</v>
      </c>
      <c r="AR22" s="136">
        <f t="shared" si="0"/>
        <v>0</v>
      </c>
      <c r="AS22" s="136">
        <v>3</v>
      </c>
      <c r="AT22" s="136">
        <f t="shared" si="0"/>
        <v>3</v>
      </c>
      <c r="AU22" s="136">
        <v>0</v>
      </c>
      <c r="AV22" s="136">
        <f t="shared" si="0"/>
        <v>0</v>
      </c>
      <c r="AW22" s="136">
        <v>0</v>
      </c>
      <c r="AX22" s="136">
        <f t="shared" si="0"/>
        <v>0</v>
      </c>
      <c r="AY22" s="136">
        <v>0</v>
      </c>
      <c r="AZ22" s="136">
        <f t="shared" si="1"/>
        <v>0</v>
      </c>
      <c r="BA22" s="136">
        <v>0</v>
      </c>
      <c r="BB22" s="136">
        <f t="shared" si="2"/>
        <v>0</v>
      </c>
      <c r="BC22" s="136">
        <v>0</v>
      </c>
      <c r="BD22" s="136">
        <f t="shared" si="3"/>
        <v>0</v>
      </c>
      <c r="BE22" s="136">
        <v>0</v>
      </c>
      <c r="BF22" s="136">
        <f t="shared" si="4"/>
        <v>0</v>
      </c>
      <c r="BG22" s="136">
        <v>0</v>
      </c>
      <c r="BH22" s="136">
        <f t="shared" si="5"/>
        <v>0</v>
      </c>
      <c r="BI22" s="88">
        <f t="shared" si="6"/>
        <v>3</v>
      </c>
      <c r="BJ22" s="82"/>
      <c r="BK22" s="88">
        <v>1</v>
      </c>
      <c r="BL22" s="137"/>
      <c r="BM22" s="84"/>
      <c r="BN22" s="84"/>
      <c r="BO22" s="84" t="s">
        <v>202</v>
      </c>
      <c r="BP22" s="137"/>
      <c r="BQ22" s="84"/>
      <c r="BR22" s="84" t="s">
        <v>202</v>
      </c>
      <c r="BS22" s="84"/>
      <c r="BT22" s="138"/>
    </row>
    <row r="23" spans="1:72" ht="167.25" thickTop="1" thickBot="1">
      <c r="A23" s="106"/>
      <c r="B23" s="38">
        <v>17</v>
      </c>
      <c r="C23" s="139" t="s">
        <v>278</v>
      </c>
      <c r="D23" s="38" t="s">
        <v>229</v>
      </c>
      <c r="E23" s="39" t="s">
        <v>331</v>
      </c>
      <c r="F23" s="40">
        <v>45078</v>
      </c>
      <c r="G23" s="40" t="s">
        <v>361</v>
      </c>
      <c r="H23" s="41" t="s">
        <v>362</v>
      </c>
      <c r="I23" s="42" t="s">
        <v>176</v>
      </c>
      <c r="J23" s="39" t="s">
        <v>177</v>
      </c>
      <c r="K23" s="38" t="s">
        <v>332</v>
      </c>
      <c r="L23" s="38" t="s">
        <v>333</v>
      </c>
      <c r="M23" s="43" t="s">
        <v>363</v>
      </c>
      <c r="N23" s="70" t="s">
        <v>351</v>
      </c>
      <c r="O23" s="38" t="s">
        <v>364</v>
      </c>
      <c r="P23" s="41"/>
      <c r="Q23" s="41"/>
      <c r="R23" s="38" t="s">
        <v>365</v>
      </c>
      <c r="S23" s="38"/>
      <c r="T23" s="73" t="s">
        <v>366</v>
      </c>
      <c r="U23" s="73" t="s">
        <v>367</v>
      </c>
      <c r="V23" s="73" t="s">
        <v>74</v>
      </c>
      <c r="W23" s="44" t="s">
        <v>89</v>
      </c>
      <c r="X23" s="113" t="s">
        <v>355</v>
      </c>
      <c r="Y23" s="73" t="s">
        <v>79</v>
      </c>
      <c r="Z23" s="73" t="s">
        <v>189</v>
      </c>
      <c r="AA23" s="73" t="s">
        <v>284</v>
      </c>
      <c r="AB23" s="74" t="s">
        <v>285</v>
      </c>
      <c r="AC23" s="73" t="s">
        <v>368</v>
      </c>
      <c r="AD23" s="74" t="s">
        <v>369</v>
      </c>
      <c r="AE23" s="114" t="s">
        <v>271</v>
      </c>
      <c r="AF23" s="74" t="s">
        <v>226</v>
      </c>
      <c r="AG23" s="73" t="s">
        <v>196</v>
      </c>
      <c r="AH23" s="74" t="s">
        <v>226</v>
      </c>
      <c r="AI23" s="116" t="s">
        <v>370</v>
      </c>
      <c r="AJ23" s="74" t="s">
        <v>199</v>
      </c>
      <c r="AK23" s="73" t="s">
        <v>189</v>
      </c>
      <c r="AL23" s="73" t="s">
        <v>199</v>
      </c>
      <c r="AM23" s="104" t="s">
        <v>371</v>
      </c>
      <c r="AN23" s="132">
        <v>1</v>
      </c>
      <c r="AO23" s="132">
        <v>0</v>
      </c>
      <c r="AP23" s="133">
        <f t="shared" si="17"/>
        <v>0</v>
      </c>
      <c r="AQ23" s="132">
        <v>0</v>
      </c>
      <c r="AR23" s="133">
        <f t="shared" si="0"/>
        <v>0</v>
      </c>
      <c r="AS23" s="132">
        <v>0</v>
      </c>
      <c r="AT23" s="133">
        <f t="shared" si="0"/>
        <v>0</v>
      </c>
      <c r="AU23" s="132">
        <v>0</v>
      </c>
      <c r="AV23" s="133">
        <f t="shared" si="0"/>
        <v>0</v>
      </c>
      <c r="AW23" s="132">
        <v>0</v>
      </c>
      <c r="AX23" s="133">
        <f t="shared" si="0"/>
        <v>0</v>
      </c>
      <c r="AY23" s="132">
        <v>0</v>
      </c>
      <c r="AZ23" s="133">
        <f t="shared" si="1"/>
        <v>0</v>
      </c>
      <c r="BA23" s="132">
        <v>0</v>
      </c>
      <c r="BB23" s="133">
        <f t="shared" si="2"/>
        <v>0</v>
      </c>
      <c r="BC23" s="132">
        <v>1</v>
      </c>
      <c r="BD23" s="133">
        <f t="shared" si="3"/>
        <v>1</v>
      </c>
      <c r="BE23" s="132">
        <v>0</v>
      </c>
      <c r="BF23" s="133">
        <f t="shared" si="4"/>
        <v>0</v>
      </c>
      <c r="BG23" s="132">
        <v>0</v>
      </c>
      <c r="BH23" s="133">
        <f t="shared" si="5"/>
        <v>0</v>
      </c>
      <c r="BI23" s="89">
        <f t="shared" si="6"/>
        <v>1</v>
      </c>
      <c r="BJ23" s="83"/>
      <c r="BK23" s="89">
        <v>1</v>
      </c>
      <c r="BL23" s="134"/>
      <c r="BM23" s="85"/>
      <c r="BN23" s="85"/>
      <c r="BO23" s="85" t="s">
        <v>202</v>
      </c>
      <c r="BP23" s="134"/>
      <c r="BQ23" s="85"/>
      <c r="BR23" s="85" t="s">
        <v>202</v>
      </c>
      <c r="BS23" s="85"/>
      <c r="BT23" s="135"/>
    </row>
    <row r="24" spans="1:72" ht="141.75" thickTop="1" thickBot="1">
      <c r="A24" s="106"/>
      <c r="B24" s="45">
        <v>18</v>
      </c>
      <c r="C24" s="140" t="s">
        <v>221</v>
      </c>
      <c r="D24" s="45" t="s">
        <v>229</v>
      </c>
      <c r="E24" s="46" t="s">
        <v>331</v>
      </c>
      <c r="F24" s="47">
        <v>45090</v>
      </c>
      <c r="G24" s="47" t="s">
        <v>288</v>
      </c>
      <c r="H24" s="48" t="s">
        <v>372</v>
      </c>
      <c r="I24" s="49" t="s">
        <v>176</v>
      </c>
      <c r="J24" s="46" t="s">
        <v>177</v>
      </c>
      <c r="K24" s="45" t="s">
        <v>332</v>
      </c>
      <c r="L24" s="45" t="s">
        <v>333</v>
      </c>
      <c r="M24" s="50" t="s">
        <v>373</v>
      </c>
      <c r="N24" s="71" t="s">
        <v>229</v>
      </c>
      <c r="O24" s="72" t="s">
        <v>335</v>
      </c>
      <c r="P24" s="48"/>
      <c r="Q24" s="48"/>
      <c r="R24" s="45" t="s">
        <v>374</v>
      </c>
      <c r="S24" s="45" t="s">
        <v>375</v>
      </c>
      <c r="T24" s="45" t="s">
        <v>376</v>
      </c>
      <c r="U24" s="45"/>
      <c r="V24" s="45" t="s">
        <v>67</v>
      </c>
      <c r="W24" s="51" t="s">
        <v>95</v>
      </c>
      <c r="X24" s="110" t="s">
        <v>355</v>
      </c>
      <c r="Y24" s="72" t="s">
        <v>79</v>
      </c>
      <c r="Z24" s="72" t="s">
        <v>189</v>
      </c>
      <c r="AA24" s="72" t="s">
        <v>199</v>
      </c>
      <c r="AB24" s="111" t="s">
        <v>377</v>
      </c>
      <c r="AC24" s="72" t="s">
        <v>226</v>
      </c>
      <c r="AD24" s="111" t="s">
        <v>378</v>
      </c>
      <c r="AE24" s="103" t="s">
        <v>227</v>
      </c>
      <c r="AF24" s="111" t="s">
        <v>379</v>
      </c>
      <c r="AG24" s="72" t="s">
        <v>196</v>
      </c>
      <c r="AH24" s="111" t="s">
        <v>379</v>
      </c>
      <c r="AI24" s="115" t="s">
        <v>380</v>
      </c>
      <c r="AJ24" s="111" t="s">
        <v>199</v>
      </c>
      <c r="AK24" s="72" t="s">
        <v>189</v>
      </c>
      <c r="AL24" s="72" t="s">
        <v>199</v>
      </c>
      <c r="AM24" s="112"/>
      <c r="AN24" s="136"/>
      <c r="AO24" s="136">
        <v>0</v>
      </c>
      <c r="AP24" s="136">
        <f t="shared" si="17"/>
        <v>0</v>
      </c>
      <c r="AQ24" s="136">
        <v>0</v>
      </c>
      <c r="AR24" s="136">
        <f t="shared" si="0"/>
        <v>0</v>
      </c>
      <c r="AS24" s="136">
        <v>0</v>
      </c>
      <c r="AT24" s="136">
        <f t="shared" si="0"/>
        <v>0</v>
      </c>
      <c r="AU24" s="136">
        <v>0</v>
      </c>
      <c r="AV24" s="136">
        <f t="shared" si="0"/>
        <v>0</v>
      </c>
      <c r="AW24" s="136">
        <v>0</v>
      </c>
      <c r="AX24" s="136">
        <f t="shared" si="0"/>
        <v>0</v>
      </c>
      <c r="AY24" s="136">
        <v>0</v>
      </c>
      <c r="AZ24" s="136">
        <f t="shared" si="1"/>
        <v>0</v>
      </c>
      <c r="BA24" s="136">
        <v>0</v>
      </c>
      <c r="BB24" s="136">
        <f t="shared" si="2"/>
        <v>0</v>
      </c>
      <c r="BC24" s="136">
        <v>0</v>
      </c>
      <c r="BD24" s="136">
        <f t="shared" si="3"/>
        <v>0</v>
      </c>
      <c r="BE24" s="136">
        <v>0</v>
      </c>
      <c r="BF24" s="136">
        <f t="shared" si="4"/>
        <v>0</v>
      </c>
      <c r="BG24" s="136">
        <v>0</v>
      </c>
      <c r="BH24" s="136">
        <f t="shared" si="5"/>
        <v>0</v>
      </c>
      <c r="BI24" s="88">
        <f t="shared" si="6"/>
        <v>0</v>
      </c>
      <c r="BJ24" s="82"/>
      <c r="BK24" s="88">
        <v>1</v>
      </c>
      <c r="BL24" s="137"/>
      <c r="BM24" s="84"/>
      <c r="BN24" s="84"/>
      <c r="BO24" s="84" t="s">
        <v>202</v>
      </c>
      <c r="BP24" s="137"/>
      <c r="BQ24" s="84"/>
      <c r="BR24" s="84" t="s">
        <v>202</v>
      </c>
      <c r="BS24" s="84"/>
      <c r="BT24" s="138"/>
    </row>
    <row r="25" spans="1:72" ht="180" thickTop="1" thickBot="1">
      <c r="A25" s="106"/>
      <c r="B25" s="38">
        <v>19</v>
      </c>
      <c r="C25" s="139" t="s">
        <v>296</v>
      </c>
      <c r="D25" s="38" t="s">
        <v>229</v>
      </c>
      <c r="E25" s="39" t="s">
        <v>381</v>
      </c>
      <c r="F25" s="40">
        <v>45090</v>
      </c>
      <c r="G25" s="40" t="s">
        <v>382</v>
      </c>
      <c r="H25" s="41" t="s">
        <v>297</v>
      </c>
      <c r="I25" s="42" t="s">
        <v>176</v>
      </c>
      <c r="J25" s="39" t="s">
        <v>177</v>
      </c>
      <c r="K25" s="38" t="s">
        <v>332</v>
      </c>
      <c r="L25" s="38" t="s">
        <v>333</v>
      </c>
      <c r="M25" s="43" t="s">
        <v>334</v>
      </c>
      <c r="N25" s="70" t="s">
        <v>229</v>
      </c>
      <c r="O25" s="38" t="s">
        <v>335</v>
      </c>
      <c r="P25" s="41"/>
      <c r="Q25" s="41"/>
      <c r="R25" s="38" t="s">
        <v>383</v>
      </c>
      <c r="S25" s="38"/>
      <c r="T25" s="73"/>
      <c r="U25" s="73"/>
      <c r="V25" s="73" t="s">
        <v>67</v>
      </c>
      <c r="W25" s="44" t="s">
        <v>95</v>
      </c>
      <c r="X25" s="113" t="s">
        <v>355</v>
      </c>
      <c r="Y25" s="73" t="s">
        <v>79</v>
      </c>
      <c r="Z25" s="73" t="s">
        <v>189</v>
      </c>
      <c r="AA25" s="73" t="s">
        <v>302</v>
      </c>
      <c r="AB25" s="74" t="s">
        <v>303</v>
      </c>
      <c r="AC25" s="73" t="s">
        <v>226</v>
      </c>
      <c r="AD25" s="74" t="s">
        <v>384</v>
      </c>
      <c r="AE25" s="114" t="s">
        <v>227</v>
      </c>
      <c r="AF25" s="74" t="s">
        <v>226</v>
      </c>
      <c r="AG25" s="73" t="s">
        <v>196</v>
      </c>
      <c r="AH25" s="74" t="s">
        <v>226</v>
      </c>
      <c r="AI25" s="116" t="s">
        <v>385</v>
      </c>
      <c r="AJ25" s="74" t="s">
        <v>199</v>
      </c>
      <c r="AK25" s="73" t="s">
        <v>189</v>
      </c>
      <c r="AL25" s="73" t="s">
        <v>199</v>
      </c>
      <c r="AM25" s="104"/>
      <c r="AN25" s="132"/>
      <c r="AO25" s="132">
        <v>0</v>
      </c>
      <c r="AP25" s="133">
        <f t="shared" si="17"/>
        <v>0</v>
      </c>
      <c r="AQ25" s="132">
        <v>0</v>
      </c>
      <c r="AR25" s="133">
        <f t="shared" si="0"/>
        <v>0</v>
      </c>
      <c r="AS25" s="132">
        <v>2</v>
      </c>
      <c r="AT25" s="133">
        <f t="shared" si="0"/>
        <v>0</v>
      </c>
      <c r="AU25" s="132">
        <v>0</v>
      </c>
      <c r="AV25" s="133">
        <f t="shared" si="0"/>
        <v>0</v>
      </c>
      <c r="AW25" s="132">
        <v>0</v>
      </c>
      <c r="AX25" s="133">
        <f t="shared" si="0"/>
        <v>0</v>
      </c>
      <c r="AY25" s="132">
        <v>0</v>
      </c>
      <c r="AZ25" s="133">
        <f t="shared" si="1"/>
        <v>0</v>
      </c>
      <c r="BA25" s="132">
        <v>0</v>
      </c>
      <c r="BB25" s="133">
        <f t="shared" si="2"/>
        <v>0</v>
      </c>
      <c r="BC25" s="132">
        <v>0</v>
      </c>
      <c r="BD25" s="133">
        <f t="shared" si="3"/>
        <v>0</v>
      </c>
      <c r="BE25" s="132">
        <v>0</v>
      </c>
      <c r="BF25" s="133">
        <f t="shared" si="4"/>
        <v>0</v>
      </c>
      <c r="BG25" s="132">
        <v>0</v>
      </c>
      <c r="BH25" s="133">
        <f t="shared" si="5"/>
        <v>0</v>
      </c>
      <c r="BI25" s="89">
        <f t="shared" si="6"/>
        <v>0</v>
      </c>
      <c r="BJ25" s="83"/>
      <c r="BK25" s="89">
        <v>1</v>
      </c>
      <c r="BL25" s="134"/>
      <c r="BM25" s="85"/>
      <c r="BN25" s="85"/>
      <c r="BO25" s="85" t="s">
        <v>202</v>
      </c>
      <c r="BP25" s="134"/>
      <c r="BQ25" s="85"/>
      <c r="BR25" s="85" t="s">
        <v>202</v>
      </c>
      <c r="BS25" s="85"/>
      <c r="BT25" s="135"/>
    </row>
    <row r="26" spans="1:72" ht="167.25" thickTop="1" thickBot="1">
      <c r="A26" s="106"/>
      <c r="B26" s="45">
        <v>20</v>
      </c>
      <c r="C26" s="140" t="s">
        <v>306</v>
      </c>
      <c r="D26" s="45" t="s">
        <v>229</v>
      </c>
      <c r="E26" s="46" t="s">
        <v>331</v>
      </c>
      <c r="F26" s="47">
        <v>45076</v>
      </c>
      <c r="G26" s="47">
        <v>45561</v>
      </c>
      <c r="H26" s="48" t="s">
        <v>386</v>
      </c>
      <c r="I26" s="49" t="s">
        <v>176</v>
      </c>
      <c r="J26" s="46" t="s">
        <v>177</v>
      </c>
      <c r="K26" s="45" t="s">
        <v>332</v>
      </c>
      <c r="L26" s="45" t="s">
        <v>333</v>
      </c>
      <c r="M26" s="50" t="s">
        <v>334</v>
      </c>
      <c r="N26" s="71" t="s">
        <v>229</v>
      </c>
      <c r="O26" s="72" t="s">
        <v>335</v>
      </c>
      <c r="P26" s="48"/>
      <c r="Q26" s="48"/>
      <c r="R26" s="45" t="s">
        <v>387</v>
      </c>
      <c r="S26" s="45"/>
      <c r="T26" s="45"/>
      <c r="U26" s="45" t="s">
        <v>388</v>
      </c>
      <c r="V26" s="45" t="s">
        <v>389</v>
      </c>
      <c r="W26" s="51" t="s">
        <v>89</v>
      </c>
      <c r="X26" s="110" t="s">
        <v>241</v>
      </c>
      <c r="Y26" s="72" t="s">
        <v>79</v>
      </c>
      <c r="Z26" s="72" t="s">
        <v>189</v>
      </c>
      <c r="AA26" s="72" t="s">
        <v>390</v>
      </c>
      <c r="AB26" s="111" t="s">
        <v>391</v>
      </c>
      <c r="AC26" s="72" t="s">
        <v>226</v>
      </c>
      <c r="AD26" s="111" t="s">
        <v>340</v>
      </c>
      <c r="AE26" s="103" t="s">
        <v>227</v>
      </c>
      <c r="AF26" s="111" t="s">
        <v>226</v>
      </c>
      <c r="AG26" s="72" t="s">
        <v>196</v>
      </c>
      <c r="AH26" s="111" t="s">
        <v>226</v>
      </c>
      <c r="AI26" s="115" t="s">
        <v>245</v>
      </c>
      <c r="AJ26" s="111" t="s">
        <v>199</v>
      </c>
      <c r="AK26" s="72" t="s">
        <v>189</v>
      </c>
      <c r="AL26" s="72" t="s">
        <v>199</v>
      </c>
      <c r="AM26" s="112"/>
      <c r="AN26" s="136">
        <v>1</v>
      </c>
      <c r="AO26" s="136">
        <v>0</v>
      </c>
      <c r="AP26" s="136">
        <f t="shared" si="17"/>
        <v>0</v>
      </c>
      <c r="AQ26" s="136">
        <v>0</v>
      </c>
      <c r="AR26" s="136">
        <f t="shared" si="0"/>
        <v>0</v>
      </c>
      <c r="AS26" s="136">
        <v>0</v>
      </c>
      <c r="AT26" s="136">
        <f t="shared" si="0"/>
        <v>0</v>
      </c>
      <c r="AU26" s="136">
        <v>0</v>
      </c>
      <c r="AV26" s="136">
        <f t="shared" si="0"/>
        <v>0</v>
      </c>
      <c r="AW26" s="136">
        <v>0</v>
      </c>
      <c r="AX26" s="136">
        <f t="shared" ref="AX26:AX75" si="18">$AN26*AW26</f>
        <v>0</v>
      </c>
      <c r="AY26" s="136">
        <v>0</v>
      </c>
      <c r="AZ26" s="136">
        <f t="shared" si="1"/>
        <v>0</v>
      </c>
      <c r="BA26" s="136">
        <v>0</v>
      </c>
      <c r="BB26" s="136">
        <f t="shared" si="2"/>
        <v>0</v>
      </c>
      <c r="BC26" s="136">
        <v>0</v>
      </c>
      <c r="BD26" s="136">
        <f t="shared" si="3"/>
        <v>0</v>
      </c>
      <c r="BE26" s="136">
        <v>0</v>
      </c>
      <c r="BF26" s="136">
        <f t="shared" si="4"/>
        <v>0</v>
      </c>
      <c r="BG26" s="136">
        <v>0</v>
      </c>
      <c r="BH26" s="136">
        <f t="shared" si="5"/>
        <v>0</v>
      </c>
      <c r="BI26" s="88">
        <f t="shared" si="6"/>
        <v>0</v>
      </c>
      <c r="BJ26" s="82" t="s">
        <v>201</v>
      </c>
      <c r="BK26" s="88">
        <v>1</v>
      </c>
      <c r="BL26" s="137"/>
      <c r="BM26" s="84"/>
      <c r="BN26" s="84"/>
      <c r="BO26" s="84" t="s">
        <v>202</v>
      </c>
      <c r="BP26" s="137"/>
      <c r="BQ26" s="84"/>
      <c r="BR26" s="84" t="s">
        <v>202</v>
      </c>
      <c r="BS26" s="84"/>
      <c r="BT26" s="138"/>
    </row>
    <row r="27" spans="1:72" ht="180" thickTop="1" thickBot="1">
      <c r="A27" s="106"/>
      <c r="B27" s="38">
        <v>21</v>
      </c>
      <c r="C27" s="139" t="s">
        <v>313</v>
      </c>
      <c r="D27" s="38" t="s">
        <v>229</v>
      </c>
      <c r="E27" s="39" t="s">
        <v>381</v>
      </c>
      <c r="F27" s="40">
        <v>45076</v>
      </c>
      <c r="G27" s="40" t="s">
        <v>392</v>
      </c>
      <c r="H27" s="41" t="s">
        <v>393</v>
      </c>
      <c r="I27" s="42" t="s">
        <v>176</v>
      </c>
      <c r="J27" s="39" t="s">
        <v>177</v>
      </c>
      <c r="K27" s="38" t="s">
        <v>332</v>
      </c>
      <c r="L27" s="38" t="s">
        <v>333</v>
      </c>
      <c r="M27" s="43" t="s">
        <v>334</v>
      </c>
      <c r="N27" s="70" t="s">
        <v>229</v>
      </c>
      <c r="O27" s="38" t="s">
        <v>335</v>
      </c>
      <c r="P27" s="41"/>
      <c r="Q27" s="41"/>
      <c r="R27" s="38" t="s">
        <v>394</v>
      </c>
      <c r="S27" s="38"/>
      <c r="T27" s="73"/>
      <c r="U27" s="73" t="s">
        <v>337</v>
      </c>
      <c r="V27" s="73" t="s">
        <v>74</v>
      </c>
      <c r="W27" s="44" t="s">
        <v>89</v>
      </c>
      <c r="X27" s="113" t="s">
        <v>241</v>
      </c>
      <c r="Y27" s="73" t="s">
        <v>79</v>
      </c>
      <c r="Z27" s="73" t="s">
        <v>189</v>
      </c>
      <c r="AA27" s="73" t="s">
        <v>302</v>
      </c>
      <c r="AB27" s="74" t="s">
        <v>395</v>
      </c>
      <c r="AC27" s="73" t="s">
        <v>396</v>
      </c>
      <c r="AD27" s="74" t="s">
        <v>340</v>
      </c>
      <c r="AE27" s="114" t="s">
        <v>227</v>
      </c>
      <c r="AF27" s="74" t="s">
        <v>226</v>
      </c>
      <c r="AG27" s="73" t="s">
        <v>196</v>
      </c>
      <c r="AH27" s="74" t="s">
        <v>226</v>
      </c>
      <c r="AI27" s="116" t="s">
        <v>245</v>
      </c>
      <c r="AJ27" s="74" t="s">
        <v>199</v>
      </c>
      <c r="AK27" s="73" t="s">
        <v>189</v>
      </c>
      <c r="AL27" s="73" t="s">
        <v>199</v>
      </c>
      <c r="AM27" s="104"/>
      <c r="AN27" s="132">
        <v>1</v>
      </c>
      <c r="AO27" s="132">
        <v>0</v>
      </c>
      <c r="AP27" s="133">
        <f t="shared" si="17"/>
        <v>0</v>
      </c>
      <c r="AQ27" s="132">
        <v>0</v>
      </c>
      <c r="AR27" s="133">
        <f t="shared" ref="AR27" si="19">$AN27*AQ27</f>
        <v>0</v>
      </c>
      <c r="AS27" s="132">
        <v>0</v>
      </c>
      <c r="AT27" s="133">
        <f t="shared" ref="AT27" si="20">$AN27*AS27</f>
        <v>0</v>
      </c>
      <c r="AU27" s="132">
        <v>0</v>
      </c>
      <c r="AV27" s="133">
        <f t="shared" ref="AV27" si="21">$AN27*AU27</f>
        <v>0</v>
      </c>
      <c r="AW27" s="132">
        <v>0</v>
      </c>
      <c r="AX27" s="133">
        <f t="shared" ref="AX27" si="22">$AN27*AW27</f>
        <v>0</v>
      </c>
      <c r="AY27" s="132">
        <v>0</v>
      </c>
      <c r="AZ27" s="133">
        <f t="shared" ref="AZ27" si="23">$AN27*AY27</f>
        <v>0</v>
      </c>
      <c r="BA27" s="132">
        <v>0</v>
      </c>
      <c r="BB27" s="133">
        <f t="shared" ref="BB27" si="24">$AN27*BA27</f>
        <v>0</v>
      </c>
      <c r="BC27" s="132">
        <v>0</v>
      </c>
      <c r="BD27" s="133">
        <f t="shared" ref="BD27" si="25">$AN27*BC27</f>
        <v>0</v>
      </c>
      <c r="BE27" s="132">
        <v>0</v>
      </c>
      <c r="BF27" s="133">
        <f t="shared" ref="BF27" si="26">$AN27*BE27</f>
        <v>0</v>
      </c>
      <c r="BG27" s="132">
        <v>0</v>
      </c>
      <c r="BH27" s="133">
        <f t="shared" ref="BH27" si="27">$AN27*BG27</f>
        <v>0</v>
      </c>
      <c r="BI27" s="89">
        <f t="shared" ref="BI27" si="28">AP27:AP27+AR27:AR27+AT27:AT27+AV27:AV27+AX27:AX27+AZ27:AZ27+BB27:BB27+BD27:BD27+BF27:BF27+BH27:BH27</f>
        <v>0</v>
      </c>
      <c r="BJ27" s="83" t="s">
        <v>201</v>
      </c>
      <c r="BK27" s="89">
        <v>1</v>
      </c>
      <c r="BL27" s="134"/>
      <c r="BM27" s="85"/>
      <c r="BN27" s="85"/>
      <c r="BO27" s="85" t="s">
        <v>202</v>
      </c>
      <c r="BP27" s="134"/>
      <c r="BQ27" s="85"/>
      <c r="BR27" s="85" t="s">
        <v>202</v>
      </c>
      <c r="BS27" s="85"/>
      <c r="BT27" s="135"/>
    </row>
    <row r="28" spans="1:72" ht="320.25" thickTop="1" thickBot="1">
      <c r="A28" s="106"/>
      <c r="B28" s="45">
        <v>22</v>
      </c>
      <c r="C28" s="140" t="s">
        <v>323</v>
      </c>
      <c r="D28" s="45" t="s">
        <v>229</v>
      </c>
      <c r="E28" s="46" t="s">
        <v>331</v>
      </c>
      <c r="F28" s="47">
        <v>45582</v>
      </c>
      <c r="G28" s="47">
        <v>45838</v>
      </c>
      <c r="H28" s="48" t="s">
        <v>397</v>
      </c>
      <c r="I28" s="49" t="s">
        <v>176</v>
      </c>
      <c r="J28" s="46" t="s">
        <v>177</v>
      </c>
      <c r="K28" s="45" t="s">
        <v>325</v>
      </c>
      <c r="L28" s="45" t="s">
        <v>333</v>
      </c>
      <c r="M28" s="50" t="s">
        <v>334</v>
      </c>
      <c r="N28" s="71" t="s">
        <v>229</v>
      </c>
      <c r="O28" s="72" t="s">
        <v>335</v>
      </c>
      <c r="P28" s="48"/>
      <c r="Q28" s="48"/>
      <c r="R28" s="45" t="s">
        <v>394</v>
      </c>
      <c r="S28" s="45"/>
      <c r="T28" s="45"/>
      <c r="U28" s="45" t="s">
        <v>398</v>
      </c>
      <c r="V28" s="45" t="s">
        <v>74</v>
      </c>
      <c r="W28" s="51" t="s">
        <v>89</v>
      </c>
      <c r="X28" s="110" t="s">
        <v>241</v>
      </c>
      <c r="Y28" s="72" t="s">
        <v>79</v>
      </c>
      <c r="Z28" s="72" t="s">
        <v>189</v>
      </c>
      <c r="AA28" s="72" t="s">
        <v>399</v>
      </c>
      <c r="AB28" s="111" t="s">
        <v>400</v>
      </c>
      <c r="AC28" s="72" t="s">
        <v>199</v>
      </c>
      <c r="AD28" s="111" t="s">
        <v>199</v>
      </c>
      <c r="AE28" s="103" t="s">
        <v>199</v>
      </c>
      <c r="AF28" s="111" t="s">
        <v>328</v>
      </c>
      <c r="AG28" s="72" t="s">
        <v>196</v>
      </c>
      <c r="AH28" s="111" t="s">
        <v>328</v>
      </c>
      <c r="AI28" s="115" t="s">
        <v>401</v>
      </c>
      <c r="AJ28" s="111" t="s">
        <v>199</v>
      </c>
      <c r="AK28" s="72" t="s">
        <v>189</v>
      </c>
      <c r="AL28" s="72" t="s">
        <v>199</v>
      </c>
      <c r="AM28" s="112" t="s">
        <v>402</v>
      </c>
      <c r="AN28" s="136">
        <v>1</v>
      </c>
      <c r="AO28" s="136">
        <v>0</v>
      </c>
      <c r="AP28" s="136">
        <f t="shared" si="17"/>
        <v>0</v>
      </c>
      <c r="AQ28" s="136">
        <v>0</v>
      </c>
      <c r="AR28" s="136">
        <f t="shared" si="0"/>
        <v>0</v>
      </c>
      <c r="AS28" s="136">
        <v>0</v>
      </c>
      <c r="AT28" s="136">
        <f t="shared" si="0"/>
        <v>0</v>
      </c>
      <c r="AU28" s="136">
        <v>0</v>
      </c>
      <c r="AV28" s="136">
        <f t="shared" si="0"/>
        <v>0</v>
      </c>
      <c r="AW28" s="136">
        <v>0</v>
      </c>
      <c r="AX28" s="136">
        <f t="shared" si="18"/>
        <v>0</v>
      </c>
      <c r="AY28" s="136">
        <v>0</v>
      </c>
      <c r="AZ28" s="136">
        <f t="shared" si="1"/>
        <v>0</v>
      </c>
      <c r="BA28" s="136">
        <v>0</v>
      </c>
      <c r="BB28" s="136">
        <f t="shared" si="2"/>
        <v>0</v>
      </c>
      <c r="BC28" s="136">
        <v>0</v>
      </c>
      <c r="BD28" s="136">
        <f t="shared" si="3"/>
        <v>0</v>
      </c>
      <c r="BE28" s="136">
        <v>0</v>
      </c>
      <c r="BF28" s="136">
        <f t="shared" si="4"/>
        <v>0</v>
      </c>
      <c r="BG28" s="136">
        <v>0</v>
      </c>
      <c r="BH28" s="136">
        <f t="shared" si="5"/>
        <v>0</v>
      </c>
      <c r="BI28" s="88">
        <f t="shared" si="6"/>
        <v>0</v>
      </c>
      <c r="BJ28" s="82" t="s">
        <v>201</v>
      </c>
      <c r="BK28" s="88">
        <v>1</v>
      </c>
      <c r="BL28" s="137"/>
      <c r="BM28" s="84"/>
      <c r="BN28" s="84"/>
      <c r="BO28" s="84" t="s">
        <v>202</v>
      </c>
      <c r="BP28" s="137"/>
      <c r="BQ28" s="84"/>
      <c r="BR28" s="84" t="s">
        <v>202</v>
      </c>
      <c r="BS28" s="84"/>
      <c r="BT28" s="138"/>
    </row>
    <row r="29" spans="1:72" ht="141.75" thickTop="1" thickBot="1">
      <c r="A29" s="106"/>
      <c r="B29" s="38">
        <v>23</v>
      </c>
      <c r="C29" s="139" t="s">
        <v>203</v>
      </c>
      <c r="D29" s="38" t="s">
        <v>403</v>
      </c>
      <c r="E29" s="39" t="s">
        <v>404</v>
      </c>
      <c r="F29" s="40">
        <v>44277</v>
      </c>
      <c r="G29" s="40">
        <v>45855</v>
      </c>
      <c r="H29" s="41" t="s">
        <v>405</v>
      </c>
      <c r="I29" s="42" t="s">
        <v>176</v>
      </c>
      <c r="J29" s="39" t="s">
        <v>177</v>
      </c>
      <c r="K29" s="38" t="s">
        <v>406</v>
      </c>
      <c r="L29" s="38" t="s">
        <v>407</v>
      </c>
      <c r="M29" s="43" t="s">
        <v>408</v>
      </c>
      <c r="N29" s="70" t="s">
        <v>351</v>
      </c>
      <c r="O29" s="38" t="s">
        <v>409</v>
      </c>
      <c r="P29" s="41"/>
      <c r="Q29" s="41"/>
      <c r="R29" s="38"/>
      <c r="S29" s="38"/>
      <c r="T29" s="73"/>
      <c r="U29" s="73" t="s">
        <v>410</v>
      </c>
      <c r="V29" s="73" t="s">
        <v>411</v>
      </c>
      <c r="W29" s="44" t="s">
        <v>92</v>
      </c>
      <c r="X29" s="113" t="s">
        <v>412</v>
      </c>
      <c r="Y29" s="73" t="s">
        <v>80</v>
      </c>
      <c r="Z29" s="73" t="s">
        <v>189</v>
      </c>
      <c r="AA29" s="73" t="s">
        <v>413</v>
      </c>
      <c r="AB29" s="74" t="s">
        <v>414</v>
      </c>
      <c r="AC29" s="73" t="s">
        <v>415</v>
      </c>
      <c r="AD29" s="74" t="s">
        <v>340</v>
      </c>
      <c r="AE29" s="114" t="s">
        <v>271</v>
      </c>
      <c r="AF29" s="74" t="s">
        <v>199</v>
      </c>
      <c r="AG29" s="73" t="s">
        <v>273</v>
      </c>
      <c r="AH29" s="74" t="s">
        <v>416</v>
      </c>
      <c r="AI29" s="116" t="s">
        <v>417</v>
      </c>
      <c r="AJ29" s="74" t="s">
        <v>199</v>
      </c>
      <c r="AK29" s="73" t="s">
        <v>189</v>
      </c>
      <c r="AL29" s="73" t="s">
        <v>199</v>
      </c>
      <c r="AM29" s="104"/>
      <c r="AN29" s="132">
        <v>2</v>
      </c>
      <c r="AO29" s="132">
        <v>0</v>
      </c>
      <c r="AP29" s="133">
        <f t="shared" si="17"/>
        <v>0</v>
      </c>
      <c r="AQ29" s="132">
        <v>0</v>
      </c>
      <c r="AR29" s="133">
        <f t="shared" si="0"/>
        <v>0</v>
      </c>
      <c r="AS29" s="132">
        <v>2</v>
      </c>
      <c r="AT29" s="133">
        <f t="shared" si="0"/>
        <v>4</v>
      </c>
      <c r="AU29" s="132">
        <v>0</v>
      </c>
      <c r="AV29" s="133">
        <f t="shared" si="0"/>
        <v>0</v>
      </c>
      <c r="AW29" s="132">
        <v>0</v>
      </c>
      <c r="AX29" s="133">
        <f t="shared" si="18"/>
        <v>0</v>
      </c>
      <c r="AY29" s="132">
        <v>0</v>
      </c>
      <c r="AZ29" s="133">
        <f t="shared" si="1"/>
        <v>0</v>
      </c>
      <c r="BA29" s="132">
        <v>0</v>
      </c>
      <c r="BB29" s="133">
        <f t="shared" si="2"/>
        <v>0</v>
      </c>
      <c r="BC29" s="132">
        <v>0</v>
      </c>
      <c r="BD29" s="133">
        <f t="shared" si="3"/>
        <v>0</v>
      </c>
      <c r="BE29" s="132">
        <v>0</v>
      </c>
      <c r="BF29" s="133">
        <f t="shared" si="4"/>
        <v>0</v>
      </c>
      <c r="BG29" s="132">
        <v>0</v>
      </c>
      <c r="BH29" s="133">
        <f t="shared" si="5"/>
        <v>0</v>
      </c>
      <c r="BI29" s="89">
        <f t="shared" si="6"/>
        <v>4</v>
      </c>
      <c r="BJ29" s="83" t="s">
        <v>201</v>
      </c>
      <c r="BK29" s="89">
        <v>1</v>
      </c>
      <c r="BL29" s="134"/>
      <c r="BM29" s="85"/>
      <c r="BN29" s="85"/>
      <c r="BO29" s="85" t="s">
        <v>202</v>
      </c>
      <c r="BP29" s="134"/>
      <c r="BQ29" s="85"/>
      <c r="BR29" s="85" t="s">
        <v>202</v>
      </c>
      <c r="BS29" s="85"/>
      <c r="BT29" s="135"/>
    </row>
    <row r="30" spans="1:72" ht="141.75" thickTop="1" thickBot="1">
      <c r="A30" s="106"/>
      <c r="B30" s="45">
        <v>24</v>
      </c>
      <c r="C30" s="140" t="s">
        <v>217</v>
      </c>
      <c r="D30" s="45" t="s">
        <v>403</v>
      </c>
      <c r="E30" s="46" t="s">
        <v>404</v>
      </c>
      <c r="F30" s="47">
        <v>44277</v>
      </c>
      <c r="G30" s="47" t="s">
        <v>418</v>
      </c>
      <c r="H30" s="48" t="s">
        <v>419</v>
      </c>
      <c r="I30" s="49" t="s">
        <v>176</v>
      </c>
      <c r="J30" s="46" t="s">
        <v>177</v>
      </c>
      <c r="K30" s="45" t="s">
        <v>406</v>
      </c>
      <c r="L30" s="45" t="s">
        <v>407</v>
      </c>
      <c r="M30" s="50" t="s">
        <v>408</v>
      </c>
      <c r="N30" s="71" t="s">
        <v>351</v>
      </c>
      <c r="O30" s="72" t="s">
        <v>409</v>
      </c>
      <c r="P30" s="48"/>
      <c r="Q30" s="48"/>
      <c r="R30" s="45"/>
      <c r="S30" s="45"/>
      <c r="T30" s="45"/>
      <c r="U30" s="45" t="s">
        <v>420</v>
      </c>
      <c r="V30" s="45" t="s">
        <v>411</v>
      </c>
      <c r="W30" s="51" t="s">
        <v>92</v>
      </c>
      <c r="X30" s="110" t="s">
        <v>412</v>
      </c>
      <c r="Y30" s="72" t="s">
        <v>80</v>
      </c>
      <c r="Z30" s="72" t="s">
        <v>189</v>
      </c>
      <c r="AA30" s="72" t="s">
        <v>421</v>
      </c>
      <c r="AB30" s="111" t="s">
        <v>422</v>
      </c>
      <c r="AC30" s="72" t="s">
        <v>199</v>
      </c>
      <c r="AD30" s="111" t="s">
        <v>199</v>
      </c>
      <c r="AE30" s="103" t="s">
        <v>423</v>
      </c>
      <c r="AF30" s="111" t="s">
        <v>199</v>
      </c>
      <c r="AG30" s="72" t="s">
        <v>273</v>
      </c>
      <c r="AH30" s="111" t="s">
        <v>424</v>
      </c>
      <c r="AI30" s="115" t="s">
        <v>425</v>
      </c>
      <c r="AJ30" s="111" t="s">
        <v>199</v>
      </c>
      <c r="AK30" s="72" t="s">
        <v>189</v>
      </c>
      <c r="AL30" s="72" t="s">
        <v>199</v>
      </c>
      <c r="AM30" s="112" t="s">
        <v>426</v>
      </c>
      <c r="AN30" s="136">
        <v>2</v>
      </c>
      <c r="AO30" s="136">
        <v>0</v>
      </c>
      <c r="AP30" s="136">
        <f t="shared" si="17"/>
        <v>0</v>
      </c>
      <c r="AQ30" s="136">
        <v>0</v>
      </c>
      <c r="AR30" s="136">
        <f t="shared" si="0"/>
        <v>0</v>
      </c>
      <c r="AS30" s="136">
        <v>1</v>
      </c>
      <c r="AT30" s="136">
        <f t="shared" si="0"/>
        <v>2</v>
      </c>
      <c r="AU30" s="136">
        <v>1</v>
      </c>
      <c r="AV30" s="136">
        <f t="shared" si="0"/>
        <v>2</v>
      </c>
      <c r="AW30" s="136">
        <v>0</v>
      </c>
      <c r="AX30" s="136">
        <f t="shared" si="18"/>
        <v>0</v>
      </c>
      <c r="AY30" s="136">
        <v>0</v>
      </c>
      <c r="AZ30" s="136">
        <f t="shared" si="1"/>
        <v>0</v>
      </c>
      <c r="BA30" s="136">
        <v>0</v>
      </c>
      <c r="BB30" s="136">
        <f t="shared" si="2"/>
        <v>0</v>
      </c>
      <c r="BC30" s="136">
        <v>0</v>
      </c>
      <c r="BD30" s="136">
        <f t="shared" si="3"/>
        <v>0</v>
      </c>
      <c r="BE30" s="136">
        <v>0</v>
      </c>
      <c r="BF30" s="136">
        <f t="shared" si="4"/>
        <v>0</v>
      </c>
      <c r="BG30" s="136">
        <v>0</v>
      </c>
      <c r="BH30" s="136">
        <f t="shared" si="5"/>
        <v>0</v>
      </c>
      <c r="BI30" s="88">
        <f t="shared" si="6"/>
        <v>4</v>
      </c>
      <c r="BJ30" s="82" t="s">
        <v>201</v>
      </c>
      <c r="BK30" s="88">
        <v>1</v>
      </c>
      <c r="BL30" s="137"/>
      <c r="BM30" s="84"/>
      <c r="BN30" s="84"/>
      <c r="BO30" s="84" t="s">
        <v>202</v>
      </c>
      <c r="BP30" s="137"/>
      <c r="BQ30" s="84"/>
      <c r="BR30" s="84" t="s">
        <v>202</v>
      </c>
      <c r="BS30" s="84"/>
      <c r="BT30" s="138"/>
    </row>
    <row r="31" spans="1:72" ht="90.75" thickTop="1" thickBot="1">
      <c r="A31" s="106"/>
      <c r="B31" s="38">
        <v>25</v>
      </c>
      <c r="C31" s="139" t="s">
        <v>427</v>
      </c>
      <c r="D31" s="38" t="s">
        <v>428</v>
      </c>
      <c r="E31" s="39" t="s">
        <v>429</v>
      </c>
      <c r="F31" s="40">
        <v>44277</v>
      </c>
      <c r="G31" s="40" t="s">
        <v>430</v>
      </c>
      <c r="H31" s="41" t="s">
        <v>431</v>
      </c>
      <c r="I31" s="42" t="s">
        <v>176</v>
      </c>
      <c r="J31" s="39" t="s">
        <v>177</v>
      </c>
      <c r="K31" s="38" t="s">
        <v>432</v>
      </c>
      <c r="L31" s="38" t="s">
        <v>433</v>
      </c>
      <c r="M31" s="43" t="s">
        <v>434</v>
      </c>
      <c r="N31" s="70" t="s">
        <v>428</v>
      </c>
      <c r="O31" s="38" t="s">
        <v>435</v>
      </c>
      <c r="P31" s="41"/>
      <c r="Q31" s="41"/>
      <c r="R31" s="38" t="s">
        <v>436</v>
      </c>
      <c r="S31" s="38" t="s">
        <v>437</v>
      </c>
      <c r="T31" s="73" t="s">
        <v>438</v>
      </c>
      <c r="U31" s="73" t="s">
        <v>199</v>
      </c>
      <c r="V31" s="73" t="s">
        <v>67</v>
      </c>
      <c r="W31" s="44" t="s">
        <v>95</v>
      </c>
      <c r="X31" s="113" t="s">
        <v>439</v>
      </c>
      <c r="Y31" s="73" t="s">
        <v>79</v>
      </c>
      <c r="Z31" s="73" t="s">
        <v>196</v>
      </c>
      <c r="AA31" s="73" t="s">
        <v>440</v>
      </c>
      <c r="AB31" s="74" t="s">
        <v>441</v>
      </c>
      <c r="AC31" s="73" t="s">
        <v>442</v>
      </c>
      <c r="AD31" s="74" t="s">
        <v>443</v>
      </c>
      <c r="AE31" s="114" t="s">
        <v>444</v>
      </c>
      <c r="AF31" s="74" t="s">
        <v>445</v>
      </c>
      <c r="AG31" s="73" t="s">
        <v>189</v>
      </c>
      <c r="AH31" s="74" t="s">
        <v>199</v>
      </c>
      <c r="AI31" s="116" t="s">
        <v>446</v>
      </c>
      <c r="AJ31" s="74" t="s">
        <v>199</v>
      </c>
      <c r="AK31" s="73" t="s">
        <v>189</v>
      </c>
      <c r="AL31" s="73" t="s">
        <v>199</v>
      </c>
      <c r="AM31" s="104" t="s">
        <v>447</v>
      </c>
      <c r="AN31" s="132"/>
      <c r="AO31" s="132">
        <v>0</v>
      </c>
      <c r="AP31" s="133">
        <f t="shared" si="17"/>
        <v>0</v>
      </c>
      <c r="AQ31" s="132">
        <v>0</v>
      </c>
      <c r="AR31" s="133">
        <f t="shared" si="0"/>
        <v>0</v>
      </c>
      <c r="AS31" s="132">
        <v>1</v>
      </c>
      <c r="AT31" s="133">
        <f t="shared" si="0"/>
        <v>0</v>
      </c>
      <c r="AU31" s="132">
        <v>1</v>
      </c>
      <c r="AV31" s="133">
        <f t="shared" si="0"/>
        <v>0</v>
      </c>
      <c r="AW31" s="132">
        <v>0</v>
      </c>
      <c r="AX31" s="133">
        <f t="shared" si="18"/>
        <v>0</v>
      </c>
      <c r="AY31" s="132">
        <v>0</v>
      </c>
      <c r="AZ31" s="133">
        <f t="shared" si="1"/>
        <v>0</v>
      </c>
      <c r="BA31" s="132">
        <v>0</v>
      </c>
      <c r="BB31" s="133">
        <f t="shared" si="2"/>
        <v>0</v>
      </c>
      <c r="BC31" s="132">
        <v>0</v>
      </c>
      <c r="BD31" s="133">
        <f t="shared" si="3"/>
        <v>0</v>
      </c>
      <c r="BE31" s="132">
        <v>0</v>
      </c>
      <c r="BF31" s="133">
        <f t="shared" si="4"/>
        <v>0</v>
      </c>
      <c r="BG31" s="132">
        <v>0</v>
      </c>
      <c r="BH31" s="133">
        <f t="shared" si="5"/>
        <v>0</v>
      </c>
      <c r="BI31" s="89">
        <f t="shared" si="6"/>
        <v>0</v>
      </c>
      <c r="BJ31" s="83" t="s">
        <v>201</v>
      </c>
      <c r="BK31" s="89">
        <v>0</v>
      </c>
      <c r="BL31" s="134"/>
      <c r="BM31" s="85"/>
      <c r="BN31" s="85"/>
      <c r="BO31" s="85"/>
      <c r="BP31" s="134"/>
      <c r="BQ31" s="85"/>
      <c r="BR31" s="85"/>
      <c r="BS31" s="85"/>
      <c r="BT31" s="135"/>
    </row>
    <row r="32" spans="1:72" ht="256.5" thickTop="1" thickBot="1">
      <c r="A32" s="106"/>
      <c r="B32" s="45">
        <v>26</v>
      </c>
      <c r="C32" s="140" t="s">
        <v>427</v>
      </c>
      <c r="D32" s="45" t="s">
        <v>448</v>
      </c>
      <c r="E32" s="46" t="s">
        <v>449</v>
      </c>
      <c r="F32" s="47">
        <v>44277</v>
      </c>
      <c r="G32" s="47" t="s">
        <v>450</v>
      </c>
      <c r="H32" s="48" t="s">
        <v>451</v>
      </c>
      <c r="I32" s="49" t="s">
        <v>176</v>
      </c>
      <c r="J32" s="46" t="s">
        <v>177</v>
      </c>
      <c r="K32" s="45" t="s">
        <v>452</v>
      </c>
      <c r="L32" s="45" t="s">
        <v>453</v>
      </c>
      <c r="M32" s="50" t="s">
        <v>454</v>
      </c>
      <c r="N32" s="71" t="s">
        <v>455</v>
      </c>
      <c r="O32" s="72" t="s">
        <v>456</v>
      </c>
      <c r="P32" s="48" t="s">
        <v>457</v>
      </c>
      <c r="Q32" s="48"/>
      <c r="R32" s="45" t="s">
        <v>458</v>
      </c>
      <c r="S32" s="45" t="s">
        <v>459</v>
      </c>
      <c r="T32" s="45" t="s">
        <v>460</v>
      </c>
      <c r="U32" s="45" t="s">
        <v>461</v>
      </c>
      <c r="V32" s="45" t="s">
        <v>462</v>
      </c>
      <c r="W32" s="51" t="s">
        <v>89</v>
      </c>
      <c r="X32" s="110" t="s">
        <v>463</v>
      </c>
      <c r="Y32" s="72" t="s">
        <v>80</v>
      </c>
      <c r="Z32" s="72" t="s">
        <v>189</v>
      </c>
      <c r="AA32" s="72" t="s">
        <v>464</v>
      </c>
      <c r="AB32" s="111" t="s">
        <v>465</v>
      </c>
      <c r="AC32" s="72" t="s">
        <v>466</v>
      </c>
      <c r="AD32" s="111" t="s">
        <v>467</v>
      </c>
      <c r="AE32" s="103" t="s">
        <v>423</v>
      </c>
      <c r="AF32" s="111" t="s">
        <v>468</v>
      </c>
      <c r="AG32" s="72" t="s">
        <v>196</v>
      </c>
      <c r="AH32" s="111" t="s">
        <v>469</v>
      </c>
      <c r="AI32" s="115" t="s">
        <v>470</v>
      </c>
      <c r="AJ32" s="111" t="s">
        <v>471</v>
      </c>
      <c r="AK32" s="72" t="s">
        <v>189</v>
      </c>
      <c r="AL32" s="72" t="s">
        <v>199</v>
      </c>
      <c r="AM32" s="112" t="s">
        <v>472</v>
      </c>
      <c r="AN32" s="136">
        <v>2</v>
      </c>
      <c r="AO32" s="136">
        <v>0</v>
      </c>
      <c r="AP32" s="136">
        <f t="shared" si="17"/>
        <v>0</v>
      </c>
      <c r="AQ32" s="136">
        <v>0</v>
      </c>
      <c r="AR32" s="136">
        <f t="shared" ref="AR32" si="29">$AN32*AQ32</f>
        <v>0</v>
      </c>
      <c r="AS32" s="136">
        <v>1</v>
      </c>
      <c r="AT32" s="136">
        <f t="shared" ref="AT32" si="30">$AN32*AS32</f>
        <v>2</v>
      </c>
      <c r="AU32" s="136">
        <v>0</v>
      </c>
      <c r="AV32" s="136">
        <f t="shared" ref="AV32" si="31">$AN32*AU32</f>
        <v>0</v>
      </c>
      <c r="AW32" s="136">
        <v>0</v>
      </c>
      <c r="AX32" s="136">
        <f t="shared" ref="AX32" si="32">$AN32*AW32</f>
        <v>0</v>
      </c>
      <c r="AY32" s="136">
        <v>0</v>
      </c>
      <c r="AZ32" s="136">
        <f t="shared" ref="AZ32" si="33">$AN32*AY32</f>
        <v>0</v>
      </c>
      <c r="BA32" s="136">
        <v>0</v>
      </c>
      <c r="BB32" s="136">
        <f t="shared" ref="BB32" si="34">$AN32*BA32</f>
        <v>0</v>
      </c>
      <c r="BC32" s="136">
        <v>1</v>
      </c>
      <c r="BD32" s="136">
        <f t="shared" ref="BD32" si="35">$AN32*BC32</f>
        <v>2</v>
      </c>
      <c r="BE32" s="136">
        <v>0</v>
      </c>
      <c r="BF32" s="136">
        <f t="shared" ref="BF32" si="36">$AN32*BE32</f>
        <v>0</v>
      </c>
      <c r="BG32" s="136">
        <v>0</v>
      </c>
      <c r="BH32" s="136">
        <f t="shared" ref="BH32" si="37">$AN32*BG32</f>
        <v>0</v>
      </c>
      <c r="BI32" s="88">
        <f t="shared" ref="BI32" si="38">AP32:AP32+AR32:AR32+AT32:AT32+AV32:AV32+AX32:AX32+AZ32:AZ32+BB32:BB32+BD32:BD32+BF32:BF32+BH32:BH32</f>
        <v>4</v>
      </c>
      <c r="BJ32" s="82" t="s">
        <v>201</v>
      </c>
      <c r="BK32" s="88">
        <v>1</v>
      </c>
      <c r="BL32" s="137"/>
      <c r="BM32" s="84"/>
      <c r="BN32" s="84"/>
      <c r="BO32" s="84" t="s">
        <v>202</v>
      </c>
      <c r="BP32" s="137"/>
      <c r="BQ32" s="84"/>
      <c r="BR32" s="84"/>
      <c r="BS32" s="84"/>
      <c r="BT32" s="138"/>
    </row>
    <row r="33" spans="1:72" ht="256.5" thickTop="1" thickBot="1">
      <c r="A33" s="106"/>
      <c r="B33" s="38">
        <v>27</v>
      </c>
      <c r="C33" s="139" t="s">
        <v>323</v>
      </c>
      <c r="D33" s="38" t="s">
        <v>448</v>
      </c>
      <c r="E33" s="39" t="s">
        <v>449</v>
      </c>
      <c r="F33" s="40">
        <v>45582</v>
      </c>
      <c r="G33" s="40">
        <v>45838</v>
      </c>
      <c r="H33" s="41" t="s">
        <v>324</v>
      </c>
      <c r="I33" s="42" t="s">
        <v>176</v>
      </c>
      <c r="J33" s="39" t="s">
        <v>177</v>
      </c>
      <c r="K33" s="38" t="s">
        <v>325</v>
      </c>
      <c r="L33" s="38" t="s">
        <v>453</v>
      </c>
      <c r="M33" s="43" t="s">
        <v>454</v>
      </c>
      <c r="N33" s="70" t="s">
        <v>455</v>
      </c>
      <c r="O33" s="38" t="s">
        <v>456</v>
      </c>
      <c r="P33" s="41" t="s">
        <v>457</v>
      </c>
      <c r="Q33" s="41"/>
      <c r="R33" s="38" t="s">
        <v>458</v>
      </c>
      <c r="S33" s="38" t="s">
        <v>459</v>
      </c>
      <c r="T33" s="73" t="s">
        <v>460</v>
      </c>
      <c r="U33" s="73" t="s">
        <v>461</v>
      </c>
      <c r="V33" s="73" t="s">
        <v>462</v>
      </c>
      <c r="W33" s="44" t="s">
        <v>89</v>
      </c>
      <c r="X33" s="113" t="s">
        <v>463</v>
      </c>
      <c r="Y33" s="73" t="s">
        <v>80</v>
      </c>
      <c r="Z33" s="73" t="s">
        <v>189</v>
      </c>
      <c r="AA33" s="73" t="s">
        <v>473</v>
      </c>
      <c r="AB33" s="74" t="s">
        <v>474</v>
      </c>
      <c r="AC33" s="73" t="s">
        <v>199</v>
      </c>
      <c r="AD33" s="74" t="s">
        <v>199</v>
      </c>
      <c r="AE33" s="114" t="s">
        <v>199</v>
      </c>
      <c r="AF33" s="74" t="s">
        <v>328</v>
      </c>
      <c r="AG33" s="73" t="s">
        <v>196</v>
      </c>
      <c r="AH33" s="74" t="s">
        <v>328</v>
      </c>
      <c r="AI33" s="116" t="s">
        <v>475</v>
      </c>
      <c r="AJ33" s="74" t="s">
        <v>471</v>
      </c>
      <c r="AK33" s="73" t="s">
        <v>189</v>
      </c>
      <c r="AL33" s="73" t="s">
        <v>199</v>
      </c>
      <c r="AM33" s="104" t="s">
        <v>476</v>
      </c>
      <c r="AN33" s="132">
        <v>2</v>
      </c>
      <c r="AO33" s="132">
        <v>0</v>
      </c>
      <c r="AP33" s="133">
        <f t="shared" si="17"/>
        <v>0</v>
      </c>
      <c r="AQ33" s="132">
        <v>0</v>
      </c>
      <c r="AR33" s="133">
        <f t="shared" si="0"/>
        <v>0</v>
      </c>
      <c r="AS33" s="132">
        <v>2</v>
      </c>
      <c r="AT33" s="133">
        <f t="shared" si="0"/>
        <v>4</v>
      </c>
      <c r="AU33" s="132">
        <v>0</v>
      </c>
      <c r="AV33" s="133">
        <f t="shared" si="0"/>
        <v>0</v>
      </c>
      <c r="AW33" s="132">
        <v>0</v>
      </c>
      <c r="AX33" s="133">
        <f t="shared" si="18"/>
        <v>0</v>
      </c>
      <c r="AY33" s="132">
        <v>0</v>
      </c>
      <c r="AZ33" s="133">
        <f t="shared" si="1"/>
        <v>0</v>
      </c>
      <c r="BA33" s="132">
        <v>0</v>
      </c>
      <c r="BB33" s="133">
        <f t="shared" si="2"/>
        <v>0</v>
      </c>
      <c r="BC33" s="132">
        <v>1</v>
      </c>
      <c r="BD33" s="133">
        <f t="shared" si="3"/>
        <v>2</v>
      </c>
      <c r="BE33" s="132">
        <v>0</v>
      </c>
      <c r="BF33" s="133">
        <f t="shared" si="4"/>
        <v>0</v>
      </c>
      <c r="BG33" s="132">
        <v>0</v>
      </c>
      <c r="BH33" s="133">
        <f t="shared" si="5"/>
        <v>0</v>
      </c>
      <c r="BI33" s="89">
        <f t="shared" si="6"/>
        <v>6</v>
      </c>
      <c r="BJ33" s="83" t="s">
        <v>201</v>
      </c>
      <c r="BK33" s="89">
        <v>1</v>
      </c>
      <c r="BL33" s="134"/>
      <c r="BM33" s="85"/>
      <c r="BN33" s="85"/>
      <c r="BO33" s="85" t="s">
        <v>202</v>
      </c>
      <c r="BP33" s="134"/>
      <c r="BQ33" s="85"/>
      <c r="BR33" s="85"/>
      <c r="BS33" s="85"/>
      <c r="BT33" s="135"/>
    </row>
    <row r="34" spans="1:72" ht="116.25" thickTop="1" thickBot="1">
      <c r="A34" s="106"/>
      <c r="B34" s="45">
        <v>28</v>
      </c>
      <c r="C34" s="140" t="s">
        <v>313</v>
      </c>
      <c r="D34" s="45" t="s">
        <v>477</v>
      </c>
      <c r="E34" s="46" t="s">
        <v>478</v>
      </c>
      <c r="F34" s="47">
        <v>44277</v>
      </c>
      <c r="G34" s="47" t="s">
        <v>392</v>
      </c>
      <c r="H34" s="48" t="s">
        <v>479</v>
      </c>
      <c r="I34" s="49" t="s">
        <v>176</v>
      </c>
      <c r="J34" s="46" t="s">
        <v>177</v>
      </c>
      <c r="K34" s="45" t="s">
        <v>232</v>
      </c>
      <c r="L34" s="45" t="s">
        <v>480</v>
      </c>
      <c r="M34" s="50" t="s">
        <v>481</v>
      </c>
      <c r="N34" s="71" t="s">
        <v>482</v>
      </c>
      <c r="O34" s="72" t="s">
        <v>483</v>
      </c>
      <c r="P34" s="48"/>
      <c r="Q34" s="48"/>
      <c r="R34" s="45"/>
      <c r="S34" s="45" t="s">
        <v>484</v>
      </c>
      <c r="T34" s="45"/>
      <c r="U34" s="45"/>
      <c r="V34" s="45" t="s">
        <v>67</v>
      </c>
      <c r="W34" s="51" t="s">
        <v>95</v>
      </c>
      <c r="X34" s="110" t="s">
        <v>485</v>
      </c>
      <c r="Y34" s="72" t="s">
        <v>79</v>
      </c>
      <c r="Z34" s="72" t="s">
        <v>196</v>
      </c>
      <c r="AA34" s="72" t="s">
        <v>199</v>
      </c>
      <c r="AB34" s="111" t="s">
        <v>199</v>
      </c>
      <c r="AC34" s="72" t="s">
        <v>486</v>
      </c>
      <c r="AD34" s="111" t="s">
        <v>487</v>
      </c>
      <c r="AE34" s="103" t="s">
        <v>488</v>
      </c>
      <c r="AF34" s="111">
        <v>0</v>
      </c>
      <c r="AG34" s="72" t="s">
        <v>196</v>
      </c>
      <c r="AH34" s="111" t="s">
        <v>489</v>
      </c>
      <c r="AI34" s="115" t="s">
        <v>490</v>
      </c>
      <c r="AJ34" s="111" t="s">
        <v>491</v>
      </c>
      <c r="AK34" s="72" t="s">
        <v>189</v>
      </c>
      <c r="AL34" s="72" t="s">
        <v>199</v>
      </c>
      <c r="AM34" s="112" t="s">
        <v>492</v>
      </c>
      <c r="AN34" s="136"/>
      <c r="AO34" s="136">
        <v>0</v>
      </c>
      <c r="AP34" s="136">
        <f t="shared" si="17"/>
        <v>0</v>
      </c>
      <c r="AQ34" s="136">
        <v>0</v>
      </c>
      <c r="AR34" s="136">
        <f t="shared" si="0"/>
        <v>0</v>
      </c>
      <c r="AS34" s="136">
        <v>2</v>
      </c>
      <c r="AT34" s="136">
        <f t="shared" si="0"/>
        <v>0</v>
      </c>
      <c r="AU34" s="136">
        <v>0</v>
      </c>
      <c r="AV34" s="136">
        <f t="shared" si="0"/>
        <v>0</v>
      </c>
      <c r="AW34" s="136">
        <v>0</v>
      </c>
      <c r="AX34" s="136">
        <f t="shared" si="18"/>
        <v>0</v>
      </c>
      <c r="AY34" s="136">
        <v>0</v>
      </c>
      <c r="AZ34" s="136">
        <f t="shared" si="1"/>
        <v>0</v>
      </c>
      <c r="BA34" s="136">
        <v>0</v>
      </c>
      <c r="BB34" s="136">
        <f t="shared" si="2"/>
        <v>0</v>
      </c>
      <c r="BC34" s="136">
        <v>0</v>
      </c>
      <c r="BD34" s="136">
        <f t="shared" si="3"/>
        <v>0</v>
      </c>
      <c r="BE34" s="136"/>
      <c r="BF34" s="136">
        <f t="shared" si="4"/>
        <v>0</v>
      </c>
      <c r="BG34" s="136">
        <v>0</v>
      </c>
      <c r="BH34" s="136">
        <f t="shared" si="5"/>
        <v>0</v>
      </c>
      <c r="BI34" s="88">
        <f t="shared" si="6"/>
        <v>0</v>
      </c>
      <c r="BJ34" s="82"/>
      <c r="BK34" s="88">
        <v>1</v>
      </c>
      <c r="BL34" s="137"/>
      <c r="BM34" s="84"/>
      <c r="BN34" s="84"/>
      <c r="BO34" s="84"/>
      <c r="BP34" s="137"/>
      <c r="BQ34" s="84"/>
      <c r="BR34" s="84"/>
      <c r="BS34" s="84"/>
      <c r="BT34" s="138"/>
    </row>
    <row r="35" spans="1:72" ht="116.25" thickTop="1" thickBot="1">
      <c r="A35" s="106"/>
      <c r="B35" s="38">
        <v>29</v>
      </c>
      <c r="C35" s="139" t="s">
        <v>493</v>
      </c>
      <c r="D35" s="38" t="s">
        <v>477</v>
      </c>
      <c r="E35" s="39" t="s">
        <v>478</v>
      </c>
      <c r="F35" s="40">
        <v>44277</v>
      </c>
      <c r="G35" s="40" t="s">
        <v>494</v>
      </c>
      <c r="H35" s="41" t="s">
        <v>495</v>
      </c>
      <c r="I35" s="42" t="s">
        <v>176</v>
      </c>
      <c r="J35" s="39" t="s">
        <v>177</v>
      </c>
      <c r="K35" s="38" t="s">
        <v>232</v>
      </c>
      <c r="L35" s="38" t="s">
        <v>480</v>
      </c>
      <c r="M35" s="43" t="s">
        <v>481</v>
      </c>
      <c r="N35" s="70" t="s">
        <v>482</v>
      </c>
      <c r="O35" s="38" t="s">
        <v>496</v>
      </c>
      <c r="P35" s="41"/>
      <c r="Q35" s="41"/>
      <c r="R35" s="38" t="s">
        <v>497</v>
      </c>
      <c r="S35" s="38" t="s">
        <v>484</v>
      </c>
      <c r="T35" s="73" t="s">
        <v>498</v>
      </c>
      <c r="U35" s="73" t="s">
        <v>499</v>
      </c>
      <c r="V35" s="73" t="s">
        <v>77</v>
      </c>
      <c r="W35" s="44" t="s">
        <v>89</v>
      </c>
      <c r="X35" s="113" t="s">
        <v>485</v>
      </c>
      <c r="Y35" s="73" t="s">
        <v>79</v>
      </c>
      <c r="Z35" s="73" t="s">
        <v>196</v>
      </c>
      <c r="AA35" s="73" t="s">
        <v>199</v>
      </c>
      <c r="AB35" s="74" t="s">
        <v>199</v>
      </c>
      <c r="AC35" s="73" t="s">
        <v>500</v>
      </c>
      <c r="AD35" s="74" t="s">
        <v>487</v>
      </c>
      <c r="AE35" s="114" t="s">
        <v>501</v>
      </c>
      <c r="AF35" s="74" t="s">
        <v>502</v>
      </c>
      <c r="AG35" s="73" t="s">
        <v>196</v>
      </c>
      <c r="AH35" s="74" t="s">
        <v>502</v>
      </c>
      <c r="AI35" s="116" t="s">
        <v>490</v>
      </c>
      <c r="AJ35" s="74" t="s">
        <v>491</v>
      </c>
      <c r="AK35" s="73" t="s">
        <v>189</v>
      </c>
      <c r="AL35" s="73" t="s">
        <v>199</v>
      </c>
      <c r="AM35" s="104" t="s">
        <v>503</v>
      </c>
      <c r="AN35" s="132"/>
      <c r="AO35" s="132">
        <v>0</v>
      </c>
      <c r="AP35" s="133">
        <f t="shared" si="17"/>
        <v>0</v>
      </c>
      <c r="AQ35" s="132">
        <v>0</v>
      </c>
      <c r="AR35" s="133">
        <f t="shared" si="0"/>
        <v>0</v>
      </c>
      <c r="AS35" s="132">
        <v>0</v>
      </c>
      <c r="AT35" s="133">
        <f t="shared" si="0"/>
        <v>0</v>
      </c>
      <c r="AU35" s="132">
        <v>0</v>
      </c>
      <c r="AV35" s="133">
        <f t="shared" si="0"/>
        <v>0</v>
      </c>
      <c r="AW35" s="132">
        <v>0</v>
      </c>
      <c r="AX35" s="133">
        <f t="shared" si="18"/>
        <v>0</v>
      </c>
      <c r="AY35" s="132">
        <v>0</v>
      </c>
      <c r="AZ35" s="133">
        <f t="shared" si="1"/>
        <v>0</v>
      </c>
      <c r="BA35" s="132">
        <v>0</v>
      </c>
      <c r="BB35" s="133">
        <f t="shared" si="2"/>
        <v>0</v>
      </c>
      <c r="BC35" s="132">
        <v>0</v>
      </c>
      <c r="BD35" s="133">
        <f t="shared" si="3"/>
        <v>0</v>
      </c>
      <c r="BE35" s="132"/>
      <c r="BF35" s="133">
        <f t="shared" si="4"/>
        <v>0</v>
      </c>
      <c r="BG35" s="132">
        <v>0</v>
      </c>
      <c r="BH35" s="133">
        <f t="shared" si="5"/>
        <v>0</v>
      </c>
      <c r="BI35" s="89">
        <f t="shared" si="6"/>
        <v>0</v>
      </c>
      <c r="BJ35" s="83"/>
      <c r="BK35" s="89">
        <v>1</v>
      </c>
      <c r="BL35" s="134"/>
      <c r="BM35" s="85"/>
      <c r="BN35" s="85"/>
      <c r="BO35" s="85" t="s">
        <v>202</v>
      </c>
      <c r="BP35" s="134"/>
      <c r="BQ35" s="85"/>
      <c r="BR35" s="85"/>
      <c r="BS35" s="85"/>
      <c r="BT35" s="135"/>
    </row>
    <row r="36" spans="1:72" ht="116.25" thickTop="1" thickBot="1">
      <c r="A36" s="106"/>
      <c r="B36" s="45">
        <v>30</v>
      </c>
      <c r="C36" s="140" t="s">
        <v>258</v>
      </c>
      <c r="D36" s="45" t="s">
        <v>477</v>
      </c>
      <c r="E36" s="46" t="s">
        <v>478</v>
      </c>
      <c r="F36" s="47">
        <v>44277</v>
      </c>
      <c r="G36" s="47"/>
      <c r="H36" s="48"/>
      <c r="I36" s="49"/>
      <c r="J36" s="46" t="s">
        <v>177</v>
      </c>
      <c r="K36" s="45" t="s">
        <v>232</v>
      </c>
      <c r="L36" s="45" t="s">
        <v>480</v>
      </c>
      <c r="M36" s="50" t="s">
        <v>481</v>
      </c>
      <c r="N36" s="71" t="s">
        <v>482</v>
      </c>
      <c r="O36" s="72" t="s">
        <v>496</v>
      </c>
      <c r="P36" s="48"/>
      <c r="Q36" s="48"/>
      <c r="R36" s="45" t="s">
        <v>497</v>
      </c>
      <c r="S36" s="45" t="s">
        <v>484</v>
      </c>
      <c r="T36" s="45" t="s">
        <v>498</v>
      </c>
      <c r="U36" s="45" t="s">
        <v>499</v>
      </c>
      <c r="V36" s="45" t="s">
        <v>77</v>
      </c>
      <c r="W36" s="51" t="s">
        <v>89</v>
      </c>
      <c r="X36" s="110" t="s">
        <v>485</v>
      </c>
      <c r="Y36" s="72" t="s">
        <v>79</v>
      </c>
      <c r="Z36" s="72" t="s">
        <v>196</v>
      </c>
      <c r="AA36" s="72" t="s">
        <v>504</v>
      </c>
      <c r="AB36" s="111" t="s">
        <v>505</v>
      </c>
      <c r="AC36" s="72" t="s">
        <v>506</v>
      </c>
      <c r="AD36" s="111" t="s">
        <v>487</v>
      </c>
      <c r="AE36" s="103" t="s">
        <v>197</v>
      </c>
      <c r="AF36" s="111" t="s">
        <v>507</v>
      </c>
      <c r="AG36" s="72" t="s">
        <v>196</v>
      </c>
      <c r="AH36" s="111" t="s">
        <v>508</v>
      </c>
      <c r="AI36" s="115" t="s">
        <v>509</v>
      </c>
      <c r="AJ36" s="111" t="s">
        <v>491</v>
      </c>
      <c r="AK36" s="72" t="s">
        <v>189</v>
      </c>
      <c r="AL36" s="72" t="s">
        <v>199</v>
      </c>
      <c r="AM36" s="112"/>
      <c r="AN36" s="136">
        <v>2</v>
      </c>
      <c r="AO36" s="136">
        <v>0</v>
      </c>
      <c r="AP36" s="136">
        <f t="shared" si="17"/>
        <v>0</v>
      </c>
      <c r="AQ36" s="136">
        <v>0</v>
      </c>
      <c r="AR36" s="136">
        <f t="shared" si="0"/>
        <v>0</v>
      </c>
      <c r="AS36" s="136">
        <v>2</v>
      </c>
      <c r="AT36" s="136">
        <f t="shared" si="0"/>
        <v>4</v>
      </c>
      <c r="AU36" s="136">
        <v>0</v>
      </c>
      <c r="AV36" s="136">
        <f t="shared" si="0"/>
        <v>0</v>
      </c>
      <c r="AW36" s="136">
        <v>0</v>
      </c>
      <c r="AX36" s="136">
        <f t="shared" si="18"/>
        <v>0</v>
      </c>
      <c r="AY36" s="136">
        <v>0</v>
      </c>
      <c r="AZ36" s="136">
        <f t="shared" si="1"/>
        <v>0</v>
      </c>
      <c r="BA36" s="136">
        <v>0</v>
      </c>
      <c r="BB36" s="136">
        <f t="shared" si="2"/>
        <v>0</v>
      </c>
      <c r="BC36" s="136">
        <v>1</v>
      </c>
      <c r="BD36" s="136">
        <f t="shared" si="3"/>
        <v>2</v>
      </c>
      <c r="BE36" s="136">
        <v>0</v>
      </c>
      <c r="BF36" s="136">
        <f t="shared" si="4"/>
        <v>0</v>
      </c>
      <c r="BG36" s="136">
        <v>0</v>
      </c>
      <c r="BH36" s="136">
        <f t="shared" si="5"/>
        <v>0</v>
      </c>
      <c r="BI36" s="88">
        <f t="shared" si="6"/>
        <v>6</v>
      </c>
      <c r="BJ36" s="82"/>
      <c r="BK36" s="88">
        <v>1</v>
      </c>
      <c r="BL36" s="137"/>
      <c r="BM36" s="84"/>
      <c r="BN36" s="84"/>
      <c r="BO36" s="84" t="s">
        <v>202</v>
      </c>
      <c r="BP36" s="137"/>
      <c r="BQ36" s="84"/>
      <c r="BR36" s="84"/>
      <c r="BS36" s="84"/>
      <c r="BT36" s="138"/>
    </row>
    <row r="37" spans="1:72" ht="154.5" thickTop="1" thickBot="1">
      <c r="A37" s="106"/>
      <c r="B37" s="38">
        <v>31</v>
      </c>
      <c r="C37" s="139" t="s">
        <v>427</v>
      </c>
      <c r="D37" s="38" t="s">
        <v>455</v>
      </c>
      <c r="E37" s="39" t="s">
        <v>510</v>
      </c>
      <c r="F37" s="40">
        <v>44277</v>
      </c>
      <c r="G37" s="40"/>
      <c r="H37" s="41"/>
      <c r="I37" s="42" t="s">
        <v>176</v>
      </c>
      <c r="J37" s="39" t="s">
        <v>177</v>
      </c>
      <c r="K37" s="38" t="s">
        <v>511</v>
      </c>
      <c r="L37" s="38" t="s">
        <v>512</v>
      </c>
      <c r="M37" s="43" t="s">
        <v>513</v>
      </c>
      <c r="N37" s="70" t="s">
        <v>514</v>
      </c>
      <c r="O37" s="38" t="s">
        <v>515</v>
      </c>
      <c r="P37" s="41"/>
      <c r="Q37" s="41"/>
      <c r="R37" s="38" t="s">
        <v>516</v>
      </c>
      <c r="S37" s="38" t="s">
        <v>517</v>
      </c>
      <c r="T37" s="73" t="s">
        <v>517</v>
      </c>
      <c r="U37" s="73" t="s">
        <v>517</v>
      </c>
      <c r="V37" s="73" t="s">
        <v>67</v>
      </c>
      <c r="W37" s="44" t="s">
        <v>95</v>
      </c>
      <c r="X37" s="113" t="s">
        <v>518</v>
      </c>
      <c r="Y37" s="73" t="s">
        <v>79</v>
      </c>
      <c r="Z37" s="73" t="s">
        <v>519</v>
      </c>
      <c r="AA37" s="73" t="s">
        <v>520</v>
      </c>
      <c r="AB37" s="74" t="s">
        <v>521</v>
      </c>
      <c r="AC37" s="73" t="s">
        <v>522</v>
      </c>
      <c r="AD37" s="74" t="s">
        <v>523</v>
      </c>
      <c r="AE37" s="114" t="s">
        <v>524</v>
      </c>
      <c r="AF37" s="74" t="s">
        <v>525</v>
      </c>
      <c r="AG37" s="73" t="s">
        <v>189</v>
      </c>
      <c r="AH37" s="74" t="s">
        <v>199</v>
      </c>
      <c r="AI37" s="116" t="s">
        <v>526</v>
      </c>
      <c r="AJ37" s="74" t="s">
        <v>527</v>
      </c>
      <c r="AK37" s="73" t="s">
        <v>189</v>
      </c>
      <c r="AL37" s="73" t="s">
        <v>199</v>
      </c>
      <c r="AM37" s="104"/>
      <c r="AN37" s="132"/>
      <c r="AO37" s="132">
        <v>0</v>
      </c>
      <c r="AP37" s="133">
        <f t="shared" si="17"/>
        <v>0</v>
      </c>
      <c r="AQ37" s="132">
        <v>0</v>
      </c>
      <c r="AR37" s="133">
        <f t="shared" si="0"/>
        <v>0</v>
      </c>
      <c r="AS37" s="132"/>
      <c r="AT37" s="133">
        <f t="shared" si="0"/>
        <v>0</v>
      </c>
      <c r="AU37" s="132"/>
      <c r="AV37" s="133">
        <f t="shared" si="0"/>
        <v>0</v>
      </c>
      <c r="AW37" s="132">
        <v>0</v>
      </c>
      <c r="AX37" s="133">
        <f t="shared" si="18"/>
        <v>0</v>
      </c>
      <c r="AY37" s="132">
        <v>0</v>
      </c>
      <c r="AZ37" s="133">
        <f t="shared" si="1"/>
        <v>0</v>
      </c>
      <c r="BA37" s="132">
        <v>0</v>
      </c>
      <c r="BB37" s="133">
        <f t="shared" si="2"/>
        <v>0</v>
      </c>
      <c r="BC37" s="132"/>
      <c r="BD37" s="133">
        <f t="shared" si="3"/>
        <v>0</v>
      </c>
      <c r="BE37" s="132">
        <v>0</v>
      </c>
      <c r="BF37" s="133">
        <f t="shared" si="4"/>
        <v>0</v>
      </c>
      <c r="BG37" s="132">
        <v>0</v>
      </c>
      <c r="BH37" s="133">
        <f t="shared" si="5"/>
        <v>0</v>
      </c>
      <c r="BI37" s="89">
        <f t="shared" si="6"/>
        <v>0</v>
      </c>
      <c r="BJ37" s="83" t="s">
        <v>201</v>
      </c>
      <c r="BK37" s="89">
        <v>1</v>
      </c>
      <c r="BL37" s="134"/>
      <c r="BM37" s="85"/>
      <c r="BN37" s="85"/>
      <c r="BO37" s="85"/>
      <c r="BP37" s="134"/>
      <c r="BQ37" s="85"/>
      <c r="BR37" s="85"/>
      <c r="BS37" s="85"/>
      <c r="BT37" s="135"/>
    </row>
    <row r="38" spans="1:72" ht="141.75" thickTop="1" thickBot="1">
      <c r="A38" s="106"/>
      <c r="B38" s="45">
        <v>32</v>
      </c>
      <c r="C38" s="140" t="s">
        <v>528</v>
      </c>
      <c r="D38" s="45" t="s">
        <v>529</v>
      </c>
      <c r="E38" s="46" t="s">
        <v>530</v>
      </c>
      <c r="F38" s="47">
        <v>44277</v>
      </c>
      <c r="G38" s="47" t="s">
        <v>531</v>
      </c>
      <c r="H38" s="48" t="s">
        <v>532</v>
      </c>
      <c r="I38" s="49" t="s">
        <v>176</v>
      </c>
      <c r="J38" s="46" t="s">
        <v>177</v>
      </c>
      <c r="K38" s="45" t="s">
        <v>332</v>
      </c>
      <c r="L38" s="45" t="s">
        <v>533</v>
      </c>
      <c r="M38" s="50" t="s">
        <v>534</v>
      </c>
      <c r="N38" s="71" t="s">
        <v>535</v>
      </c>
      <c r="O38" s="72" t="s">
        <v>496</v>
      </c>
      <c r="P38" s="48"/>
      <c r="Q38" s="48"/>
      <c r="R38" s="45" t="s">
        <v>536</v>
      </c>
      <c r="S38" s="45" t="s">
        <v>484</v>
      </c>
      <c r="T38" s="45" t="s">
        <v>537</v>
      </c>
      <c r="U38" s="45" t="s">
        <v>538</v>
      </c>
      <c r="V38" s="45" t="s">
        <v>77</v>
      </c>
      <c r="W38" s="51" t="s">
        <v>89</v>
      </c>
      <c r="X38" s="110" t="s">
        <v>518</v>
      </c>
      <c r="Y38" s="72" t="s">
        <v>80</v>
      </c>
      <c r="Z38" s="72" t="s">
        <v>189</v>
      </c>
      <c r="AA38" s="72" t="s">
        <v>539</v>
      </c>
      <c r="AB38" s="111" t="s">
        <v>540</v>
      </c>
      <c r="AC38" s="72" t="s">
        <v>541</v>
      </c>
      <c r="AD38" s="111" t="s">
        <v>542</v>
      </c>
      <c r="AE38" s="103" t="s">
        <v>423</v>
      </c>
      <c r="AF38" s="111" t="s">
        <v>543</v>
      </c>
      <c r="AG38" s="72" t="s">
        <v>196</v>
      </c>
      <c r="AH38" s="111" t="s">
        <v>544</v>
      </c>
      <c r="AI38" s="115" t="s">
        <v>545</v>
      </c>
      <c r="AJ38" s="111" t="s">
        <v>546</v>
      </c>
      <c r="AK38" s="72" t="s">
        <v>189</v>
      </c>
      <c r="AL38" s="72" t="s">
        <v>199</v>
      </c>
      <c r="AM38" s="112" t="s">
        <v>547</v>
      </c>
      <c r="AN38" s="136">
        <v>2</v>
      </c>
      <c r="AO38" s="136">
        <v>0</v>
      </c>
      <c r="AP38" s="136">
        <f t="shared" si="17"/>
        <v>0</v>
      </c>
      <c r="AQ38" s="136">
        <v>0</v>
      </c>
      <c r="AR38" s="136">
        <f t="shared" si="0"/>
        <v>0</v>
      </c>
      <c r="AS38" s="136">
        <v>2</v>
      </c>
      <c r="AT38" s="136">
        <f t="shared" si="0"/>
        <v>4</v>
      </c>
      <c r="AU38" s="136">
        <v>0</v>
      </c>
      <c r="AV38" s="136">
        <f t="shared" si="0"/>
        <v>0</v>
      </c>
      <c r="AW38" s="136">
        <v>0</v>
      </c>
      <c r="AX38" s="136">
        <f t="shared" si="18"/>
        <v>0</v>
      </c>
      <c r="AY38" s="136">
        <v>0</v>
      </c>
      <c r="AZ38" s="136">
        <f t="shared" si="1"/>
        <v>0</v>
      </c>
      <c r="BA38" s="136">
        <v>0</v>
      </c>
      <c r="BB38" s="136">
        <f t="shared" si="2"/>
        <v>0</v>
      </c>
      <c r="BC38" s="136">
        <v>1</v>
      </c>
      <c r="BD38" s="136">
        <f t="shared" si="3"/>
        <v>2</v>
      </c>
      <c r="BE38" s="136">
        <v>0</v>
      </c>
      <c r="BF38" s="136">
        <f t="shared" si="4"/>
        <v>0</v>
      </c>
      <c r="BG38" s="136">
        <v>0</v>
      </c>
      <c r="BH38" s="136">
        <f t="shared" si="5"/>
        <v>0</v>
      </c>
      <c r="BI38" s="88">
        <f t="shared" si="6"/>
        <v>6</v>
      </c>
      <c r="BJ38" s="82" t="s">
        <v>201</v>
      </c>
      <c r="BK38" s="88">
        <v>1</v>
      </c>
      <c r="BL38" s="137"/>
      <c r="BM38" s="84"/>
      <c r="BN38" s="84"/>
      <c r="BO38" s="84" t="s">
        <v>202</v>
      </c>
      <c r="BP38" s="137"/>
      <c r="BQ38" s="84"/>
      <c r="BR38" s="84"/>
      <c r="BS38" s="84"/>
      <c r="BT38" s="138"/>
    </row>
    <row r="39" spans="1:72" ht="78" thickTop="1" thickBot="1">
      <c r="A39" s="106"/>
      <c r="B39" s="38">
        <v>33</v>
      </c>
      <c r="C39" s="139" t="s">
        <v>258</v>
      </c>
      <c r="D39" s="38" t="s">
        <v>529</v>
      </c>
      <c r="E39" s="39" t="s">
        <v>548</v>
      </c>
      <c r="F39" s="40">
        <v>44277</v>
      </c>
      <c r="G39" s="40">
        <v>45562</v>
      </c>
      <c r="H39" s="41" t="s">
        <v>549</v>
      </c>
      <c r="I39" s="42"/>
      <c r="J39" s="39" t="s">
        <v>177</v>
      </c>
      <c r="K39" s="38" t="s">
        <v>332</v>
      </c>
      <c r="L39" s="38" t="s">
        <v>533</v>
      </c>
      <c r="M39" s="43" t="s">
        <v>534</v>
      </c>
      <c r="N39" s="70" t="s">
        <v>535</v>
      </c>
      <c r="O39" s="38" t="s">
        <v>496</v>
      </c>
      <c r="P39" s="41"/>
      <c r="Q39" s="41"/>
      <c r="R39" s="38" t="s">
        <v>497</v>
      </c>
      <c r="S39" s="38" t="s">
        <v>484</v>
      </c>
      <c r="T39" s="73" t="s">
        <v>438</v>
      </c>
      <c r="U39" s="73" t="s">
        <v>550</v>
      </c>
      <c r="V39" s="73" t="s">
        <v>77</v>
      </c>
      <c r="W39" s="44" t="s">
        <v>89</v>
      </c>
      <c r="X39" s="113" t="s">
        <v>518</v>
      </c>
      <c r="Y39" s="73" t="s">
        <v>80</v>
      </c>
      <c r="Z39" s="73" t="s">
        <v>189</v>
      </c>
      <c r="AA39" s="73" t="s">
        <v>551</v>
      </c>
      <c r="AB39" s="74" t="s">
        <v>552</v>
      </c>
      <c r="AC39" s="73" t="s">
        <v>553</v>
      </c>
      <c r="AD39" s="74" t="s">
        <v>554</v>
      </c>
      <c r="AE39" s="114" t="s">
        <v>555</v>
      </c>
      <c r="AF39" s="74" t="s">
        <v>328</v>
      </c>
      <c r="AG39" s="73" t="s">
        <v>196</v>
      </c>
      <c r="AH39" s="74" t="s">
        <v>328</v>
      </c>
      <c r="AI39" s="116" t="s">
        <v>556</v>
      </c>
      <c r="AJ39" s="74" t="s">
        <v>199</v>
      </c>
      <c r="AK39" s="73" t="s">
        <v>189</v>
      </c>
      <c r="AL39" s="73" t="s">
        <v>199</v>
      </c>
      <c r="AM39" s="104"/>
      <c r="AN39" s="132"/>
      <c r="AO39" s="132">
        <v>0</v>
      </c>
      <c r="AP39" s="133">
        <f t="shared" si="17"/>
        <v>0</v>
      </c>
      <c r="AQ39" s="132">
        <v>0</v>
      </c>
      <c r="AR39" s="133"/>
      <c r="AS39" s="132">
        <v>2</v>
      </c>
      <c r="AT39" s="133"/>
      <c r="AU39" s="132">
        <v>0</v>
      </c>
      <c r="AV39" s="133"/>
      <c r="AW39" s="132">
        <v>0</v>
      </c>
      <c r="AX39" s="133"/>
      <c r="AY39" s="132">
        <v>0</v>
      </c>
      <c r="AZ39" s="133"/>
      <c r="BA39" s="132">
        <v>0</v>
      </c>
      <c r="BB39" s="133"/>
      <c r="BC39" s="132">
        <v>0</v>
      </c>
      <c r="BD39" s="133"/>
      <c r="BE39" s="132"/>
      <c r="BF39" s="133"/>
      <c r="BG39" s="132">
        <v>0</v>
      </c>
      <c r="BH39" s="133"/>
      <c r="BI39" s="89"/>
      <c r="BJ39" s="83"/>
      <c r="BK39" s="89">
        <v>1</v>
      </c>
      <c r="BL39" s="134"/>
      <c r="BM39" s="85"/>
      <c r="BN39" s="85"/>
      <c r="BO39" s="85" t="s">
        <v>202</v>
      </c>
      <c r="BP39" s="134"/>
      <c r="BQ39" s="85"/>
      <c r="BR39" s="85"/>
      <c r="BS39" s="85"/>
      <c r="BT39" s="135"/>
    </row>
    <row r="40" spans="1:72" ht="90.75" thickTop="1" thickBot="1">
      <c r="A40" s="106"/>
      <c r="B40" s="45">
        <v>34</v>
      </c>
      <c r="C40" s="140" t="s">
        <v>323</v>
      </c>
      <c r="D40" s="45" t="s">
        <v>529</v>
      </c>
      <c r="E40" s="46" t="s">
        <v>548</v>
      </c>
      <c r="F40" s="47">
        <v>45582</v>
      </c>
      <c r="G40" s="47"/>
      <c r="H40" s="48"/>
      <c r="I40" s="49"/>
      <c r="J40" s="46" t="s">
        <v>177</v>
      </c>
      <c r="K40" s="45" t="s">
        <v>325</v>
      </c>
      <c r="L40" s="45" t="s">
        <v>533</v>
      </c>
      <c r="M40" s="50" t="s">
        <v>534</v>
      </c>
      <c r="N40" s="71" t="s">
        <v>535</v>
      </c>
      <c r="O40" s="72" t="s">
        <v>496</v>
      </c>
      <c r="P40" s="48"/>
      <c r="Q40" s="48"/>
      <c r="R40" s="45" t="s">
        <v>497</v>
      </c>
      <c r="S40" s="45" t="s">
        <v>484</v>
      </c>
      <c r="T40" s="45" t="s">
        <v>438</v>
      </c>
      <c r="U40" s="45" t="s">
        <v>550</v>
      </c>
      <c r="V40" s="45" t="s">
        <v>77</v>
      </c>
      <c r="W40" s="51" t="s">
        <v>89</v>
      </c>
      <c r="X40" s="110" t="s">
        <v>518</v>
      </c>
      <c r="Y40" s="72" t="s">
        <v>80</v>
      </c>
      <c r="Z40" s="72" t="s">
        <v>189</v>
      </c>
      <c r="AA40" s="72" t="s">
        <v>557</v>
      </c>
      <c r="AB40" s="111" t="s">
        <v>558</v>
      </c>
      <c r="AC40" s="72" t="s">
        <v>199</v>
      </c>
      <c r="AD40" s="111" t="s">
        <v>199</v>
      </c>
      <c r="AE40" s="103" t="s">
        <v>199</v>
      </c>
      <c r="AF40" s="111" t="s">
        <v>328</v>
      </c>
      <c r="AG40" s="72" t="s">
        <v>189</v>
      </c>
      <c r="AH40" s="111" t="s">
        <v>328</v>
      </c>
      <c r="AI40" s="115" t="s">
        <v>559</v>
      </c>
      <c r="AJ40" s="111" t="s">
        <v>199</v>
      </c>
      <c r="AK40" s="72" t="s">
        <v>189</v>
      </c>
      <c r="AL40" s="72" t="s">
        <v>199</v>
      </c>
      <c r="AM40" s="112"/>
      <c r="AN40" s="136">
        <v>2</v>
      </c>
      <c r="AO40" s="136">
        <v>0</v>
      </c>
      <c r="AP40" s="136">
        <f t="shared" si="17"/>
        <v>0</v>
      </c>
      <c r="AQ40" s="136">
        <v>0</v>
      </c>
      <c r="AR40" s="136">
        <f t="shared" si="0"/>
        <v>0</v>
      </c>
      <c r="AS40" s="136">
        <v>2</v>
      </c>
      <c r="AT40" s="136">
        <f t="shared" si="0"/>
        <v>4</v>
      </c>
      <c r="AU40" s="136">
        <v>0</v>
      </c>
      <c r="AV40" s="136">
        <f t="shared" si="0"/>
        <v>0</v>
      </c>
      <c r="AW40" s="136">
        <v>0</v>
      </c>
      <c r="AX40" s="136">
        <f t="shared" si="18"/>
        <v>0</v>
      </c>
      <c r="AY40" s="136">
        <v>0</v>
      </c>
      <c r="AZ40" s="136">
        <f t="shared" si="1"/>
        <v>0</v>
      </c>
      <c r="BA40" s="136">
        <v>0</v>
      </c>
      <c r="BB40" s="136">
        <f t="shared" si="2"/>
        <v>0</v>
      </c>
      <c r="BC40" s="136">
        <v>0</v>
      </c>
      <c r="BD40" s="136">
        <f t="shared" si="3"/>
        <v>0</v>
      </c>
      <c r="BE40" s="136">
        <v>0</v>
      </c>
      <c r="BF40" s="136">
        <f t="shared" si="4"/>
        <v>0</v>
      </c>
      <c r="BG40" s="136">
        <v>0</v>
      </c>
      <c r="BH40" s="136">
        <f t="shared" si="5"/>
        <v>0</v>
      </c>
      <c r="BI40" s="88">
        <f t="shared" si="6"/>
        <v>4</v>
      </c>
      <c r="BJ40" s="82"/>
      <c r="BK40" s="88">
        <v>1</v>
      </c>
      <c r="BL40" s="137"/>
      <c r="BM40" s="84"/>
      <c r="BN40" s="84"/>
      <c r="BO40" s="84" t="s">
        <v>202</v>
      </c>
      <c r="BP40" s="137"/>
      <c r="BQ40" s="84"/>
      <c r="BR40" s="84"/>
      <c r="BS40" s="84"/>
      <c r="BT40" s="138"/>
    </row>
    <row r="41" spans="1:72" ht="116.25" thickTop="1" thickBot="1">
      <c r="A41" s="106"/>
      <c r="B41" s="38">
        <v>35</v>
      </c>
      <c r="C41" s="139" t="s">
        <v>258</v>
      </c>
      <c r="D41" s="38" t="s">
        <v>172</v>
      </c>
      <c r="E41" s="39" t="s">
        <v>560</v>
      </c>
      <c r="F41" s="40">
        <v>44277</v>
      </c>
      <c r="G41" s="40"/>
      <c r="H41" s="41"/>
      <c r="I41" s="42" t="s">
        <v>176</v>
      </c>
      <c r="J41" s="39" t="s">
        <v>177</v>
      </c>
      <c r="K41" s="38" t="s">
        <v>232</v>
      </c>
      <c r="L41" s="38" t="s">
        <v>561</v>
      </c>
      <c r="M41" s="43" t="s">
        <v>562</v>
      </c>
      <c r="N41" s="70" t="s">
        <v>563</v>
      </c>
      <c r="O41" s="38" t="s">
        <v>564</v>
      </c>
      <c r="P41" s="41"/>
      <c r="Q41" s="41"/>
      <c r="R41" s="38" t="s">
        <v>565</v>
      </c>
      <c r="S41" s="38" t="s">
        <v>184</v>
      </c>
      <c r="T41" s="73" t="s">
        <v>566</v>
      </c>
      <c r="U41" s="73" t="s">
        <v>567</v>
      </c>
      <c r="V41" s="73" t="s">
        <v>187</v>
      </c>
      <c r="W41" s="44" t="s">
        <v>89</v>
      </c>
      <c r="X41" s="113" t="s">
        <v>568</v>
      </c>
      <c r="Y41" s="73" t="s">
        <v>79</v>
      </c>
      <c r="Z41" s="73" t="s">
        <v>189</v>
      </c>
      <c r="AA41" s="73" t="s">
        <v>569</v>
      </c>
      <c r="AB41" s="74" t="s">
        <v>570</v>
      </c>
      <c r="AC41" s="73" t="s">
        <v>571</v>
      </c>
      <c r="AD41" s="74" t="s">
        <v>270</v>
      </c>
      <c r="AE41" s="114" t="s">
        <v>572</v>
      </c>
      <c r="AF41" s="74" t="s">
        <v>226</v>
      </c>
      <c r="AG41" s="73" t="s">
        <v>196</v>
      </c>
      <c r="AH41" s="74" t="s">
        <v>226</v>
      </c>
      <c r="AI41" s="116" t="s">
        <v>573</v>
      </c>
      <c r="AJ41" s="74" t="s">
        <v>199</v>
      </c>
      <c r="AK41" s="73" t="s">
        <v>189</v>
      </c>
      <c r="AL41" s="73" t="s">
        <v>199</v>
      </c>
      <c r="AM41" s="104" t="s">
        <v>574</v>
      </c>
      <c r="AN41" s="132">
        <v>2</v>
      </c>
      <c r="AO41" s="132">
        <v>0</v>
      </c>
      <c r="AP41" s="133">
        <f t="shared" si="17"/>
        <v>0</v>
      </c>
      <c r="AQ41" s="132">
        <v>0</v>
      </c>
      <c r="AR41" s="133">
        <f t="shared" si="0"/>
        <v>0</v>
      </c>
      <c r="AS41" s="132">
        <v>0</v>
      </c>
      <c r="AT41" s="133">
        <f t="shared" si="0"/>
        <v>0</v>
      </c>
      <c r="AU41" s="132">
        <v>0</v>
      </c>
      <c r="AV41" s="133">
        <f t="shared" si="0"/>
        <v>0</v>
      </c>
      <c r="AW41" s="132">
        <v>0</v>
      </c>
      <c r="AX41" s="133">
        <f t="shared" si="18"/>
        <v>0</v>
      </c>
      <c r="AY41" s="132">
        <v>0</v>
      </c>
      <c r="AZ41" s="133">
        <f t="shared" si="1"/>
        <v>0</v>
      </c>
      <c r="BA41" s="132">
        <v>0</v>
      </c>
      <c r="BB41" s="133">
        <f t="shared" si="2"/>
        <v>0</v>
      </c>
      <c r="BC41" s="132">
        <v>0</v>
      </c>
      <c r="BD41" s="133">
        <f t="shared" si="3"/>
        <v>0</v>
      </c>
      <c r="BE41" s="132">
        <v>0</v>
      </c>
      <c r="BF41" s="133">
        <f t="shared" si="4"/>
        <v>0</v>
      </c>
      <c r="BG41" s="132">
        <v>0</v>
      </c>
      <c r="BH41" s="133">
        <f t="shared" si="5"/>
        <v>0</v>
      </c>
      <c r="BI41" s="89">
        <f t="shared" si="6"/>
        <v>0</v>
      </c>
      <c r="BJ41" s="83"/>
      <c r="BK41" s="89">
        <v>1</v>
      </c>
      <c r="BL41" s="134"/>
      <c r="BM41" s="85"/>
      <c r="BN41" s="85"/>
      <c r="BO41" s="85" t="s">
        <v>202</v>
      </c>
      <c r="BP41" s="134"/>
      <c r="BQ41" s="85"/>
      <c r="BR41" s="85" t="s">
        <v>202</v>
      </c>
      <c r="BS41" s="85"/>
      <c r="BT41" s="135"/>
    </row>
    <row r="42" spans="1:72" ht="409.6" thickTop="1" thickBot="1">
      <c r="A42" s="106"/>
      <c r="B42" s="45">
        <v>36</v>
      </c>
      <c r="C42" s="140" t="s">
        <v>427</v>
      </c>
      <c r="D42" s="45" t="s">
        <v>514</v>
      </c>
      <c r="E42" s="46" t="s">
        <v>575</v>
      </c>
      <c r="F42" s="47">
        <v>44277</v>
      </c>
      <c r="G42" s="47"/>
      <c r="H42" s="48"/>
      <c r="I42" s="49" t="s">
        <v>176</v>
      </c>
      <c r="J42" s="46" t="s">
        <v>177</v>
      </c>
      <c r="K42" s="45" t="s">
        <v>511</v>
      </c>
      <c r="L42" s="45" t="s">
        <v>576</v>
      </c>
      <c r="M42" s="50" t="s">
        <v>577</v>
      </c>
      <c r="N42" s="71" t="s">
        <v>514</v>
      </c>
      <c r="O42" s="72" t="s">
        <v>578</v>
      </c>
      <c r="P42" s="48"/>
      <c r="Q42" s="48"/>
      <c r="R42" s="45"/>
      <c r="S42" s="45" t="s">
        <v>484</v>
      </c>
      <c r="T42" s="45" t="s">
        <v>579</v>
      </c>
      <c r="U42" s="45" t="s">
        <v>580</v>
      </c>
      <c r="V42" s="45" t="s">
        <v>77</v>
      </c>
      <c r="W42" s="51" t="s">
        <v>89</v>
      </c>
      <c r="X42" s="110" t="s">
        <v>518</v>
      </c>
      <c r="Y42" s="72" t="s">
        <v>80</v>
      </c>
      <c r="Z42" s="72" t="s">
        <v>519</v>
      </c>
      <c r="AA42" s="72" t="s">
        <v>581</v>
      </c>
      <c r="AB42" s="111" t="s">
        <v>582</v>
      </c>
      <c r="AC42" s="72" t="s">
        <v>583</v>
      </c>
      <c r="AD42" s="111" t="s">
        <v>523</v>
      </c>
      <c r="AE42" s="103" t="s">
        <v>584</v>
      </c>
      <c r="AF42" s="111" t="s">
        <v>585</v>
      </c>
      <c r="AG42" s="72" t="s">
        <v>196</v>
      </c>
      <c r="AH42" s="111" t="s">
        <v>586</v>
      </c>
      <c r="AI42" s="115" t="s">
        <v>587</v>
      </c>
      <c r="AJ42" s="111" t="s">
        <v>588</v>
      </c>
      <c r="AK42" s="72" t="s">
        <v>589</v>
      </c>
      <c r="AL42" s="72" t="s">
        <v>590</v>
      </c>
      <c r="AM42" s="112"/>
      <c r="AN42" s="136">
        <v>1</v>
      </c>
      <c r="AO42" s="136">
        <v>0</v>
      </c>
      <c r="AP42" s="136">
        <f t="shared" si="17"/>
        <v>0</v>
      </c>
      <c r="AQ42" s="136">
        <v>0</v>
      </c>
      <c r="AR42" s="136">
        <f t="shared" si="0"/>
        <v>0</v>
      </c>
      <c r="AS42" s="136">
        <v>0</v>
      </c>
      <c r="AT42" s="136">
        <f t="shared" si="0"/>
        <v>0</v>
      </c>
      <c r="AU42" s="136">
        <v>0</v>
      </c>
      <c r="AV42" s="136">
        <f t="shared" si="0"/>
        <v>0</v>
      </c>
      <c r="AW42" s="136">
        <v>0</v>
      </c>
      <c r="AX42" s="136">
        <f t="shared" si="18"/>
        <v>0</v>
      </c>
      <c r="AY42" s="136">
        <v>0</v>
      </c>
      <c r="AZ42" s="136">
        <f t="shared" si="1"/>
        <v>0</v>
      </c>
      <c r="BA42" s="136">
        <v>0</v>
      </c>
      <c r="BB42" s="136">
        <f t="shared" si="2"/>
        <v>0</v>
      </c>
      <c r="BC42" s="136">
        <v>0</v>
      </c>
      <c r="BD42" s="136">
        <f t="shared" si="3"/>
        <v>0</v>
      </c>
      <c r="BE42" s="136">
        <v>0</v>
      </c>
      <c r="BF42" s="136">
        <f t="shared" si="4"/>
        <v>0</v>
      </c>
      <c r="BG42" s="136">
        <v>0</v>
      </c>
      <c r="BH42" s="136">
        <f t="shared" si="5"/>
        <v>0</v>
      </c>
      <c r="BI42" s="88">
        <f t="shared" si="6"/>
        <v>0</v>
      </c>
      <c r="BJ42" s="82" t="s">
        <v>201</v>
      </c>
      <c r="BK42" s="88">
        <v>1</v>
      </c>
      <c r="BL42" s="137"/>
      <c r="BM42" s="84"/>
      <c r="BN42" s="84"/>
      <c r="BO42" s="84" t="s">
        <v>202</v>
      </c>
      <c r="BP42" s="137"/>
      <c r="BQ42" s="84"/>
      <c r="BR42" s="84" t="s">
        <v>202</v>
      </c>
      <c r="BS42" s="84"/>
      <c r="BT42" s="138"/>
    </row>
    <row r="43" spans="1:72" ht="103.5" thickTop="1" thickBot="1">
      <c r="A43" s="106"/>
      <c r="B43" s="38">
        <v>37</v>
      </c>
      <c r="C43" s="139" t="s">
        <v>427</v>
      </c>
      <c r="D43" s="38" t="s">
        <v>591</v>
      </c>
      <c r="E43" s="39" t="s">
        <v>592</v>
      </c>
      <c r="F43" s="40">
        <v>44277</v>
      </c>
      <c r="G43" s="40">
        <v>45862</v>
      </c>
      <c r="H43" s="41" t="s">
        <v>593</v>
      </c>
      <c r="I43" s="42" t="s">
        <v>176</v>
      </c>
      <c r="J43" s="39" t="s">
        <v>177</v>
      </c>
      <c r="K43" s="38" t="s">
        <v>594</v>
      </c>
      <c r="L43" s="38" t="s">
        <v>592</v>
      </c>
      <c r="M43" s="43" t="s">
        <v>595</v>
      </c>
      <c r="N43" s="70" t="s">
        <v>596</v>
      </c>
      <c r="O43" s="38" t="s">
        <v>597</v>
      </c>
      <c r="P43" s="41" t="s">
        <v>598</v>
      </c>
      <c r="Q43" s="41"/>
      <c r="R43" s="38"/>
      <c r="S43" s="38" t="s">
        <v>264</v>
      </c>
      <c r="T43" s="73"/>
      <c r="U43" s="73"/>
      <c r="V43" s="73" t="s">
        <v>67</v>
      </c>
      <c r="W43" s="44" t="s">
        <v>95</v>
      </c>
      <c r="X43" s="113" t="s">
        <v>599</v>
      </c>
      <c r="Y43" s="73" t="s">
        <v>80</v>
      </c>
      <c r="Z43" s="73" t="s">
        <v>189</v>
      </c>
      <c r="AA43" s="73" t="s">
        <v>600</v>
      </c>
      <c r="AB43" s="74" t="s">
        <v>601</v>
      </c>
      <c r="AC43" s="73" t="s">
        <v>602</v>
      </c>
      <c r="AD43" s="74" t="s">
        <v>603</v>
      </c>
      <c r="AE43" s="114" t="s">
        <v>423</v>
      </c>
      <c r="AF43" s="74" t="s">
        <v>604</v>
      </c>
      <c r="AG43" s="73" t="s">
        <v>196</v>
      </c>
      <c r="AH43" s="74" t="s">
        <v>605</v>
      </c>
      <c r="AI43" s="116" t="s">
        <v>606</v>
      </c>
      <c r="AJ43" s="74" t="s">
        <v>607</v>
      </c>
      <c r="AK43" s="73" t="s">
        <v>189</v>
      </c>
      <c r="AL43" s="73" t="s">
        <v>590</v>
      </c>
      <c r="AM43" s="104" t="s">
        <v>608</v>
      </c>
      <c r="AN43" s="132"/>
      <c r="AO43" s="132">
        <v>0</v>
      </c>
      <c r="AP43" s="133">
        <f t="shared" si="17"/>
        <v>0</v>
      </c>
      <c r="AQ43" s="132">
        <v>0</v>
      </c>
      <c r="AR43" s="133">
        <f t="shared" si="0"/>
        <v>0</v>
      </c>
      <c r="AS43" s="132"/>
      <c r="AT43" s="133">
        <f t="shared" si="0"/>
        <v>0</v>
      </c>
      <c r="AU43" s="132"/>
      <c r="AV43" s="133">
        <f t="shared" si="0"/>
        <v>0</v>
      </c>
      <c r="AW43" s="132">
        <v>0</v>
      </c>
      <c r="AX43" s="133">
        <f t="shared" si="18"/>
        <v>0</v>
      </c>
      <c r="AY43" s="132">
        <v>0</v>
      </c>
      <c r="AZ43" s="133">
        <f t="shared" si="1"/>
        <v>0</v>
      </c>
      <c r="BA43" s="132">
        <v>0</v>
      </c>
      <c r="BB43" s="133">
        <f t="shared" si="2"/>
        <v>0</v>
      </c>
      <c r="BC43" s="132"/>
      <c r="BD43" s="133">
        <f t="shared" si="3"/>
        <v>0</v>
      </c>
      <c r="BE43" s="132">
        <v>0</v>
      </c>
      <c r="BF43" s="133">
        <f t="shared" si="4"/>
        <v>0</v>
      </c>
      <c r="BG43" s="132">
        <v>0</v>
      </c>
      <c r="BH43" s="133">
        <f t="shared" si="5"/>
        <v>0</v>
      </c>
      <c r="BI43" s="89">
        <f t="shared" si="6"/>
        <v>0</v>
      </c>
      <c r="BJ43" s="83" t="s">
        <v>201</v>
      </c>
      <c r="BK43" s="89">
        <v>0</v>
      </c>
      <c r="BL43" s="134"/>
      <c r="BM43" s="85"/>
      <c r="BN43" s="85"/>
      <c r="BO43" s="85"/>
      <c r="BP43" s="134"/>
      <c r="BQ43" s="85"/>
      <c r="BR43" s="85"/>
      <c r="BS43" s="85"/>
      <c r="BT43" s="135"/>
    </row>
    <row r="44" spans="1:72" ht="90.75" thickTop="1" thickBot="1">
      <c r="A44" s="106"/>
      <c r="B44" s="45">
        <v>38</v>
      </c>
      <c r="C44" s="140" t="s">
        <v>258</v>
      </c>
      <c r="D44" s="45" t="s">
        <v>609</v>
      </c>
      <c r="E44" s="46" t="s">
        <v>610</v>
      </c>
      <c r="F44" s="47">
        <v>44277</v>
      </c>
      <c r="G44" s="47" t="s">
        <v>611</v>
      </c>
      <c r="H44" s="48" t="s">
        <v>612</v>
      </c>
      <c r="I44" s="49" t="s">
        <v>176</v>
      </c>
      <c r="J44" s="46" t="s">
        <v>177</v>
      </c>
      <c r="K44" s="45" t="s">
        <v>332</v>
      </c>
      <c r="L44" s="45" t="s">
        <v>613</v>
      </c>
      <c r="M44" s="50"/>
      <c r="N44" s="71" t="s">
        <v>614</v>
      </c>
      <c r="O44" s="72" t="s">
        <v>615</v>
      </c>
      <c r="P44" s="48"/>
      <c r="Q44" s="48"/>
      <c r="R44" s="45" t="s">
        <v>616</v>
      </c>
      <c r="S44" s="45"/>
      <c r="T44" s="45" t="s">
        <v>617</v>
      </c>
      <c r="U44" s="45"/>
      <c r="V44" s="45" t="s">
        <v>67</v>
      </c>
      <c r="W44" s="51" t="s">
        <v>95</v>
      </c>
      <c r="X44" s="110" t="s">
        <v>463</v>
      </c>
      <c r="Y44" s="72" t="s">
        <v>80</v>
      </c>
      <c r="Z44" s="72" t="s">
        <v>189</v>
      </c>
      <c r="AA44" s="72" t="s">
        <v>618</v>
      </c>
      <c r="AB44" s="111" t="s">
        <v>619</v>
      </c>
      <c r="AC44" s="72" t="s">
        <v>620</v>
      </c>
      <c r="AD44" s="111" t="s">
        <v>378</v>
      </c>
      <c r="AE44" s="103" t="s">
        <v>621</v>
      </c>
      <c r="AF44" s="111" t="s">
        <v>604</v>
      </c>
      <c r="AG44" s="72" t="s">
        <v>196</v>
      </c>
      <c r="AH44" s="111" t="s">
        <v>605</v>
      </c>
      <c r="AI44" s="115" t="s">
        <v>622</v>
      </c>
      <c r="AJ44" s="111" t="s">
        <v>199</v>
      </c>
      <c r="AK44" s="72" t="s">
        <v>189</v>
      </c>
      <c r="AL44" s="72" t="s">
        <v>199</v>
      </c>
      <c r="AM44" s="112" t="s">
        <v>623</v>
      </c>
      <c r="AN44" s="136"/>
      <c r="AO44" s="136">
        <v>0</v>
      </c>
      <c r="AP44" s="136">
        <f t="shared" si="17"/>
        <v>0</v>
      </c>
      <c r="AQ44" s="136">
        <v>0</v>
      </c>
      <c r="AR44" s="136">
        <f t="shared" si="0"/>
        <v>0</v>
      </c>
      <c r="AS44" s="136">
        <v>2</v>
      </c>
      <c r="AT44" s="136">
        <f t="shared" si="0"/>
        <v>0</v>
      </c>
      <c r="AU44" s="136">
        <v>1</v>
      </c>
      <c r="AV44" s="136">
        <f t="shared" si="0"/>
        <v>0</v>
      </c>
      <c r="AW44" s="136">
        <v>0</v>
      </c>
      <c r="AX44" s="136">
        <f t="shared" si="18"/>
        <v>0</v>
      </c>
      <c r="AY44" s="136">
        <v>0</v>
      </c>
      <c r="AZ44" s="136">
        <f t="shared" si="1"/>
        <v>0</v>
      </c>
      <c r="BA44" s="136">
        <v>0</v>
      </c>
      <c r="BB44" s="136">
        <f t="shared" si="2"/>
        <v>0</v>
      </c>
      <c r="BC44" s="136">
        <v>0</v>
      </c>
      <c r="BD44" s="136">
        <f t="shared" si="3"/>
        <v>0</v>
      </c>
      <c r="BE44" s="136">
        <v>0</v>
      </c>
      <c r="BF44" s="136">
        <f t="shared" si="4"/>
        <v>0</v>
      </c>
      <c r="BG44" s="136">
        <v>0</v>
      </c>
      <c r="BH44" s="136">
        <f t="shared" si="5"/>
        <v>0</v>
      </c>
      <c r="BI44" s="88">
        <f t="shared" si="6"/>
        <v>0</v>
      </c>
      <c r="BJ44" s="82" t="s">
        <v>201</v>
      </c>
      <c r="BK44" s="88">
        <v>1</v>
      </c>
      <c r="BL44" s="137"/>
      <c r="BM44" s="84"/>
      <c r="BN44" s="84"/>
      <c r="BO44" s="84"/>
      <c r="BP44" s="137"/>
      <c r="BQ44" s="84"/>
      <c r="BR44" s="84"/>
      <c r="BS44" s="84"/>
      <c r="BT44" s="138"/>
    </row>
    <row r="45" spans="1:72" ht="90.75" thickTop="1" thickBot="1">
      <c r="A45" s="106"/>
      <c r="B45" s="38">
        <v>39</v>
      </c>
      <c r="C45" s="139" t="s">
        <v>278</v>
      </c>
      <c r="D45" s="38" t="s">
        <v>609</v>
      </c>
      <c r="E45" s="39" t="s">
        <v>610</v>
      </c>
      <c r="F45" s="40">
        <v>45078</v>
      </c>
      <c r="G45" s="40">
        <v>45645</v>
      </c>
      <c r="H45" s="41" t="s">
        <v>624</v>
      </c>
      <c r="I45" s="42" t="s">
        <v>176</v>
      </c>
      <c r="J45" s="39" t="s">
        <v>177</v>
      </c>
      <c r="K45" s="38" t="s">
        <v>332</v>
      </c>
      <c r="L45" s="38" t="s">
        <v>613</v>
      </c>
      <c r="M45" s="43"/>
      <c r="N45" s="70" t="s">
        <v>614</v>
      </c>
      <c r="O45" s="38" t="s">
        <v>625</v>
      </c>
      <c r="P45" s="41"/>
      <c r="Q45" s="41"/>
      <c r="R45" s="38" t="s">
        <v>616</v>
      </c>
      <c r="S45" s="38"/>
      <c r="T45" s="73" t="s">
        <v>498</v>
      </c>
      <c r="U45" s="73"/>
      <c r="V45" s="73" t="s">
        <v>67</v>
      </c>
      <c r="W45" s="44" t="s">
        <v>95</v>
      </c>
      <c r="X45" s="113" t="s">
        <v>463</v>
      </c>
      <c r="Y45" s="73" t="s">
        <v>80</v>
      </c>
      <c r="Z45" s="73" t="s">
        <v>189</v>
      </c>
      <c r="AA45" s="73" t="s">
        <v>626</v>
      </c>
      <c r="AB45" s="74" t="s">
        <v>505</v>
      </c>
      <c r="AC45" s="73" t="s">
        <v>602</v>
      </c>
      <c r="AD45" s="74" t="s">
        <v>378</v>
      </c>
      <c r="AE45" s="114" t="s">
        <v>423</v>
      </c>
      <c r="AF45" s="74" t="s">
        <v>543</v>
      </c>
      <c r="AG45" s="73" t="s">
        <v>196</v>
      </c>
      <c r="AH45" s="74" t="s">
        <v>544</v>
      </c>
      <c r="AI45" s="116" t="s">
        <v>627</v>
      </c>
      <c r="AJ45" s="74" t="s">
        <v>199</v>
      </c>
      <c r="AK45" s="73" t="s">
        <v>189</v>
      </c>
      <c r="AL45" s="73" t="s">
        <v>199</v>
      </c>
      <c r="AM45" s="104" t="s">
        <v>628</v>
      </c>
      <c r="AN45" s="132"/>
      <c r="AO45" s="132">
        <v>0</v>
      </c>
      <c r="AP45" s="133">
        <f t="shared" si="17"/>
        <v>0</v>
      </c>
      <c r="AQ45" s="132">
        <v>0</v>
      </c>
      <c r="AR45" s="133">
        <f t="shared" si="0"/>
        <v>0</v>
      </c>
      <c r="AS45" s="132">
        <v>2</v>
      </c>
      <c r="AT45" s="133">
        <f t="shared" si="0"/>
        <v>0</v>
      </c>
      <c r="AU45" s="132">
        <v>0</v>
      </c>
      <c r="AV45" s="133">
        <f t="shared" si="0"/>
        <v>0</v>
      </c>
      <c r="AW45" s="132">
        <v>0</v>
      </c>
      <c r="AX45" s="133">
        <f t="shared" si="18"/>
        <v>0</v>
      </c>
      <c r="AY45" s="132">
        <v>0</v>
      </c>
      <c r="AZ45" s="133">
        <f t="shared" si="1"/>
        <v>0</v>
      </c>
      <c r="BA45" s="132">
        <v>0</v>
      </c>
      <c r="BB45" s="133">
        <f t="shared" si="2"/>
        <v>0</v>
      </c>
      <c r="BC45" s="132">
        <v>0</v>
      </c>
      <c r="BD45" s="133">
        <f t="shared" si="3"/>
        <v>0</v>
      </c>
      <c r="BE45" s="132"/>
      <c r="BF45" s="133">
        <f t="shared" si="4"/>
        <v>0</v>
      </c>
      <c r="BG45" s="132">
        <v>0</v>
      </c>
      <c r="BH45" s="133">
        <f t="shared" si="5"/>
        <v>0</v>
      </c>
      <c r="BI45" s="89">
        <f t="shared" si="6"/>
        <v>0</v>
      </c>
      <c r="BJ45" s="83"/>
      <c r="BK45" s="89">
        <v>1</v>
      </c>
      <c r="BL45" s="134"/>
      <c r="BM45" s="85"/>
      <c r="BN45" s="85"/>
      <c r="BO45" s="85"/>
      <c r="BP45" s="134"/>
      <c r="BQ45" s="85"/>
      <c r="BR45" s="85"/>
      <c r="BS45" s="85"/>
      <c r="BT45" s="135"/>
    </row>
    <row r="46" spans="1:72" ht="90.75" thickTop="1" thickBot="1">
      <c r="A46" s="106"/>
      <c r="B46" s="45">
        <v>40</v>
      </c>
      <c r="C46" s="140" t="s">
        <v>221</v>
      </c>
      <c r="D46" s="45" t="s">
        <v>609</v>
      </c>
      <c r="E46" s="46" t="s">
        <v>610</v>
      </c>
      <c r="F46" s="47">
        <v>44277</v>
      </c>
      <c r="G46" s="47">
        <v>45537</v>
      </c>
      <c r="H46" s="48" t="s">
        <v>629</v>
      </c>
      <c r="I46" s="49" t="s">
        <v>176</v>
      </c>
      <c r="J46" s="46" t="s">
        <v>177</v>
      </c>
      <c r="K46" s="45" t="s">
        <v>332</v>
      </c>
      <c r="L46" s="45" t="s">
        <v>613</v>
      </c>
      <c r="M46" s="50"/>
      <c r="N46" s="71" t="s">
        <v>614</v>
      </c>
      <c r="O46" s="72" t="s">
        <v>625</v>
      </c>
      <c r="P46" s="48"/>
      <c r="Q46" s="48"/>
      <c r="R46" s="45"/>
      <c r="S46" s="45"/>
      <c r="T46" s="45"/>
      <c r="U46" s="45"/>
      <c r="V46" s="45" t="s">
        <v>67</v>
      </c>
      <c r="W46" s="51" t="s">
        <v>95</v>
      </c>
      <c r="X46" s="110" t="s">
        <v>463</v>
      </c>
      <c r="Y46" s="72" t="s">
        <v>80</v>
      </c>
      <c r="Z46" s="72" t="s">
        <v>189</v>
      </c>
      <c r="AA46" s="72" t="s">
        <v>630</v>
      </c>
      <c r="AB46" s="111" t="s">
        <v>631</v>
      </c>
      <c r="AC46" s="72" t="s">
        <v>632</v>
      </c>
      <c r="AD46" s="111" t="s">
        <v>633</v>
      </c>
      <c r="AE46" s="103" t="s">
        <v>634</v>
      </c>
      <c r="AF46" s="111" t="s">
        <v>635</v>
      </c>
      <c r="AG46" s="72" t="s">
        <v>196</v>
      </c>
      <c r="AH46" s="111" t="s">
        <v>636</v>
      </c>
      <c r="AI46" s="115" t="s">
        <v>637</v>
      </c>
      <c r="AJ46" s="111" t="s">
        <v>199</v>
      </c>
      <c r="AK46" s="72" t="s">
        <v>189</v>
      </c>
      <c r="AL46" s="72" t="s">
        <v>199</v>
      </c>
      <c r="AM46" s="112" t="s">
        <v>638</v>
      </c>
      <c r="AN46" s="136">
        <v>1</v>
      </c>
      <c r="AO46" s="136">
        <v>0</v>
      </c>
      <c r="AP46" s="136">
        <f t="shared" si="17"/>
        <v>0</v>
      </c>
      <c r="AQ46" s="136">
        <v>0</v>
      </c>
      <c r="AR46" s="136">
        <f t="shared" si="0"/>
        <v>0</v>
      </c>
      <c r="AS46" s="136">
        <v>2</v>
      </c>
      <c r="AT46" s="136">
        <f t="shared" si="0"/>
        <v>2</v>
      </c>
      <c r="AU46" s="136">
        <v>1</v>
      </c>
      <c r="AV46" s="136">
        <f t="shared" si="0"/>
        <v>1</v>
      </c>
      <c r="AW46" s="136">
        <v>0</v>
      </c>
      <c r="AX46" s="136">
        <f t="shared" si="18"/>
        <v>0</v>
      </c>
      <c r="AY46" s="136">
        <v>0</v>
      </c>
      <c r="AZ46" s="136">
        <f t="shared" si="1"/>
        <v>0</v>
      </c>
      <c r="BA46" s="136">
        <v>0</v>
      </c>
      <c r="BB46" s="136">
        <f t="shared" si="2"/>
        <v>0</v>
      </c>
      <c r="BC46" s="136">
        <v>0</v>
      </c>
      <c r="BD46" s="136">
        <f t="shared" si="3"/>
        <v>0</v>
      </c>
      <c r="BE46" s="136">
        <v>0</v>
      </c>
      <c r="BF46" s="136">
        <f t="shared" si="4"/>
        <v>0</v>
      </c>
      <c r="BG46" s="136">
        <v>0</v>
      </c>
      <c r="BH46" s="136">
        <f t="shared" si="5"/>
        <v>0</v>
      </c>
      <c r="BI46" s="88">
        <f t="shared" si="6"/>
        <v>3</v>
      </c>
      <c r="BJ46" s="82" t="s">
        <v>201</v>
      </c>
      <c r="BK46" s="88">
        <v>1</v>
      </c>
      <c r="BL46" s="137"/>
      <c r="BM46" s="84"/>
      <c r="BN46" s="84"/>
      <c r="BO46" s="84" t="s">
        <v>202</v>
      </c>
      <c r="BP46" s="137"/>
      <c r="BQ46" s="84"/>
      <c r="BR46" s="84"/>
      <c r="BS46" s="84"/>
      <c r="BT46" s="138"/>
    </row>
    <row r="47" spans="1:72" ht="90.75" thickTop="1" thickBot="1">
      <c r="A47" s="106"/>
      <c r="B47" s="38">
        <v>41</v>
      </c>
      <c r="C47" s="139" t="s">
        <v>296</v>
      </c>
      <c r="D47" s="38" t="s">
        <v>609</v>
      </c>
      <c r="E47" s="39" t="s">
        <v>610</v>
      </c>
      <c r="F47" s="40">
        <v>45077</v>
      </c>
      <c r="G47" s="40">
        <v>45853</v>
      </c>
      <c r="H47" s="41" t="s">
        <v>639</v>
      </c>
      <c r="I47" s="42" t="s">
        <v>176</v>
      </c>
      <c r="J47" s="39" t="s">
        <v>177</v>
      </c>
      <c r="K47" s="38" t="s">
        <v>332</v>
      </c>
      <c r="L47" s="38" t="s">
        <v>613</v>
      </c>
      <c r="M47" s="43"/>
      <c r="N47" s="70" t="s">
        <v>614</v>
      </c>
      <c r="O47" s="38" t="s">
        <v>615</v>
      </c>
      <c r="P47" s="41"/>
      <c r="Q47" s="41"/>
      <c r="R47" s="38"/>
      <c r="S47" s="38"/>
      <c r="T47" s="73"/>
      <c r="U47" s="73"/>
      <c r="V47" s="73" t="s">
        <v>67</v>
      </c>
      <c r="W47" s="44" t="s">
        <v>95</v>
      </c>
      <c r="X47" s="113" t="s">
        <v>463</v>
      </c>
      <c r="Y47" s="73" t="s">
        <v>80</v>
      </c>
      <c r="Z47" s="73" t="s">
        <v>189</v>
      </c>
      <c r="AA47" s="73" t="s">
        <v>199</v>
      </c>
      <c r="AB47" s="74" t="s">
        <v>199</v>
      </c>
      <c r="AC47" s="73" t="s">
        <v>640</v>
      </c>
      <c r="AD47" s="74" t="s">
        <v>641</v>
      </c>
      <c r="AE47" s="114" t="s">
        <v>423</v>
      </c>
      <c r="AF47" s="74" t="s">
        <v>189</v>
      </c>
      <c r="AG47" s="73" t="s">
        <v>189</v>
      </c>
      <c r="AH47" s="74" t="s">
        <v>199</v>
      </c>
      <c r="AI47" s="116" t="s">
        <v>380</v>
      </c>
      <c r="AJ47" s="74" t="s">
        <v>199</v>
      </c>
      <c r="AK47" s="73" t="s">
        <v>189</v>
      </c>
      <c r="AL47" s="73" t="s">
        <v>199</v>
      </c>
      <c r="AM47" s="104" t="s">
        <v>642</v>
      </c>
      <c r="AN47" s="132"/>
      <c r="AO47" s="132">
        <v>0</v>
      </c>
      <c r="AP47" s="133">
        <f t="shared" si="17"/>
        <v>0</v>
      </c>
      <c r="AQ47" s="132">
        <v>0</v>
      </c>
      <c r="AR47" s="133">
        <f t="shared" si="0"/>
        <v>0</v>
      </c>
      <c r="AS47" s="132"/>
      <c r="AT47" s="133">
        <f t="shared" si="0"/>
        <v>0</v>
      </c>
      <c r="AU47" s="132"/>
      <c r="AV47" s="133">
        <f t="shared" si="0"/>
        <v>0</v>
      </c>
      <c r="AW47" s="132">
        <v>0</v>
      </c>
      <c r="AX47" s="133">
        <f t="shared" si="18"/>
        <v>0</v>
      </c>
      <c r="AY47" s="132">
        <v>0</v>
      </c>
      <c r="AZ47" s="133">
        <f t="shared" si="1"/>
        <v>0</v>
      </c>
      <c r="BA47" s="132">
        <v>0</v>
      </c>
      <c r="BB47" s="133">
        <f t="shared" si="2"/>
        <v>0</v>
      </c>
      <c r="BC47" s="132"/>
      <c r="BD47" s="133">
        <f t="shared" si="3"/>
        <v>0</v>
      </c>
      <c r="BE47" s="132">
        <v>0</v>
      </c>
      <c r="BF47" s="133">
        <f t="shared" si="4"/>
        <v>0</v>
      </c>
      <c r="BG47" s="132">
        <v>0</v>
      </c>
      <c r="BH47" s="133">
        <f t="shared" si="5"/>
        <v>0</v>
      </c>
      <c r="BI47" s="89">
        <f t="shared" si="6"/>
        <v>0</v>
      </c>
      <c r="BJ47" s="83" t="s">
        <v>201</v>
      </c>
      <c r="BK47" s="89">
        <v>1</v>
      </c>
      <c r="BL47" s="134"/>
      <c r="BM47" s="85"/>
      <c r="BN47" s="85"/>
      <c r="BO47" s="85"/>
      <c r="BP47" s="134"/>
      <c r="BQ47" s="85"/>
      <c r="BR47" s="85"/>
      <c r="BS47" s="85"/>
      <c r="BT47" s="135"/>
    </row>
    <row r="48" spans="1:72" ht="90.75" thickTop="1" thickBot="1">
      <c r="A48" s="106"/>
      <c r="B48" s="45">
        <v>42</v>
      </c>
      <c r="C48" s="140" t="s">
        <v>313</v>
      </c>
      <c r="D48" s="45" t="s">
        <v>609</v>
      </c>
      <c r="E48" s="46" t="s">
        <v>610</v>
      </c>
      <c r="F48" s="47">
        <v>44277</v>
      </c>
      <c r="G48" s="47" t="s">
        <v>392</v>
      </c>
      <c r="H48" s="48" t="s">
        <v>643</v>
      </c>
      <c r="I48" s="49" t="s">
        <v>176</v>
      </c>
      <c r="J48" s="46" t="s">
        <v>177</v>
      </c>
      <c r="K48" s="45" t="s">
        <v>332</v>
      </c>
      <c r="L48" s="45" t="s">
        <v>613</v>
      </c>
      <c r="M48" s="50"/>
      <c r="N48" s="71" t="s">
        <v>614</v>
      </c>
      <c r="O48" s="72" t="s">
        <v>615</v>
      </c>
      <c r="P48" s="48"/>
      <c r="Q48" s="48"/>
      <c r="R48" s="45" t="s">
        <v>616</v>
      </c>
      <c r="S48" s="45"/>
      <c r="T48" s="45" t="s">
        <v>617</v>
      </c>
      <c r="U48" s="45"/>
      <c r="V48" s="45" t="s">
        <v>67</v>
      </c>
      <c r="W48" s="51" t="s">
        <v>95</v>
      </c>
      <c r="X48" s="110" t="s">
        <v>463</v>
      </c>
      <c r="Y48" s="72" t="s">
        <v>80</v>
      </c>
      <c r="Z48" s="72" t="s">
        <v>189</v>
      </c>
      <c r="AA48" s="72" t="s">
        <v>644</v>
      </c>
      <c r="AB48" s="111" t="s">
        <v>645</v>
      </c>
      <c r="AC48" s="72" t="s">
        <v>602</v>
      </c>
      <c r="AD48" s="111" t="s">
        <v>378</v>
      </c>
      <c r="AE48" s="103" t="s">
        <v>423</v>
      </c>
      <c r="AF48" s="111" t="s">
        <v>604</v>
      </c>
      <c r="AG48" s="72" t="s">
        <v>589</v>
      </c>
      <c r="AH48" s="111" t="s">
        <v>604</v>
      </c>
      <c r="AI48" s="115" t="s">
        <v>646</v>
      </c>
      <c r="AJ48" s="111" t="s">
        <v>199</v>
      </c>
      <c r="AK48" s="72" t="s">
        <v>189</v>
      </c>
      <c r="AL48" s="72" t="s">
        <v>199</v>
      </c>
      <c r="AM48" s="112" t="s">
        <v>647</v>
      </c>
      <c r="AN48" s="136"/>
      <c r="AO48" s="136">
        <v>0</v>
      </c>
      <c r="AP48" s="136">
        <f t="shared" si="17"/>
        <v>0</v>
      </c>
      <c r="AQ48" s="136">
        <v>0</v>
      </c>
      <c r="AR48" s="136">
        <f t="shared" si="0"/>
        <v>0</v>
      </c>
      <c r="AS48" s="136">
        <v>0</v>
      </c>
      <c r="AT48" s="136">
        <f t="shared" si="0"/>
        <v>0</v>
      </c>
      <c r="AU48" s="136">
        <v>1</v>
      </c>
      <c r="AV48" s="136">
        <f t="shared" si="0"/>
        <v>0</v>
      </c>
      <c r="AW48" s="136">
        <v>0</v>
      </c>
      <c r="AX48" s="136">
        <f t="shared" si="18"/>
        <v>0</v>
      </c>
      <c r="AY48" s="136">
        <v>0</v>
      </c>
      <c r="AZ48" s="136">
        <f t="shared" si="1"/>
        <v>0</v>
      </c>
      <c r="BA48" s="136">
        <v>0</v>
      </c>
      <c r="BB48" s="136">
        <f t="shared" si="2"/>
        <v>0</v>
      </c>
      <c r="BC48" s="136">
        <v>0</v>
      </c>
      <c r="BD48" s="136">
        <f t="shared" si="3"/>
        <v>0</v>
      </c>
      <c r="BE48" s="136">
        <v>0</v>
      </c>
      <c r="BF48" s="136">
        <f t="shared" si="4"/>
        <v>0</v>
      </c>
      <c r="BG48" s="136">
        <v>0</v>
      </c>
      <c r="BH48" s="136">
        <f t="shared" si="5"/>
        <v>0</v>
      </c>
      <c r="BI48" s="88">
        <f t="shared" si="6"/>
        <v>0</v>
      </c>
      <c r="BJ48" s="82" t="s">
        <v>201</v>
      </c>
      <c r="BK48" s="88">
        <v>1</v>
      </c>
      <c r="BL48" s="137"/>
      <c r="BM48" s="84"/>
      <c r="BN48" s="84"/>
      <c r="BO48" s="84"/>
      <c r="BP48" s="137"/>
      <c r="BQ48" s="84"/>
      <c r="BR48" s="84"/>
      <c r="BS48" s="84"/>
      <c r="BT48" s="138"/>
    </row>
    <row r="49" spans="1:72" ht="154.5" thickTop="1" thickBot="1">
      <c r="A49" s="106"/>
      <c r="B49" s="38">
        <v>43</v>
      </c>
      <c r="C49" s="139" t="s">
        <v>648</v>
      </c>
      <c r="D49" s="38" t="s">
        <v>609</v>
      </c>
      <c r="E49" s="39" t="s">
        <v>610</v>
      </c>
      <c r="F49" s="40">
        <v>44277</v>
      </c>
      <c r="G49" s="40" t="s">
        <v>649</v>
      </c>
      <c r="H49" s="41" t="s">
        <v>650</v>
      </c>
      <c r="I49" s="42" t="s">
        <v>176</v>
      </c>
      <c r="J49" s="39" t="s">
        <v>177</v>
      </c>
      <c r="K49" s="38" t="s">
        <v>332</v>
      </c>
      <c r="L49" s="38" t="s">
        <v>613</v>
      </c>
      <c r="M49" s="43"/>
      <c r="N49" s="70" t="s">
        <v>614</v>
      </c>
      <c r="O49" s="38" t="s">
        <v>615</v>
      </c>
      <c r="P49" s="41"/>
      <c r="Q49" s="41"/>
      <c r="R49" s="38" t="s">
        <v>616</v>
      </c>
      <c r="S49" s="38"/>
      <c r="T49" s="73" t="s">
        <v>617</v>
      </c>
      <c r="U49" s="73"/>
      <c r="V49" s="73" t="s">
        <v>67</v>
      </c>
      <c r="W49" s="44" t="s">
        <v>95</v>
      </c>
      <c r="X49" s="113" t="s">
        <v>463</v>
      </c>
      <c r="Y49" s="73" t="s">
        <v>80</v>
      </c>
      <c r="Z49" s="73" t="s">
        <v>189</v>
      </c>
      <c r="AA49" s="73" t="s">
        <v>651</v>
      </c>
      <c r="AB49" s="74" t="s">
        <v>652</v>
      </c>
      <c r="AC49" s="73" t="s">
        <v>653</v>
      </c>
      <c r="AD49" s="74" t="s">
        <v>654</v>
      </c>
      <c r="AE49" s="114" t="s">
        <v>621</v>
      </c>
      <c r="AF49" s="74" t="s">
        <v>189</v>
      </c>
      <c r="AG49" s="73" t="s">
        <v>189</v>
      </c>
      <c r="AH49" s="74" t="s">
        <v>199</v>
      </c>
      <c r="AI49" s="116" t="s">
        <v>646</v>
      </c>
      <c r="AJ49" s="74" t="s">
        <v>199</v>
      </c>
      <c r="AK49" s="73" t="s">
        <v>189</v>
      </c>
      <c r="AL49" s="73" t="s">
        <v>199</v>
      </c>
      <c r="AM49" s="104" t="s">
        <v>655</v>
      </c>
      <c r="AN49" s="132"/>
      <c r="AO49" s="132">
        <v>0</v>
      </c>
      <c r="AP49" s="133">
        <f t="shared" si="17"/>
        <v>0</v>
      </c>
      <c r="AQ49" s="132">
        <v>0</v>
      </c>
      <c r="AR49" s="133"/>
      <c r="AS49" s="132">
        <v>0</v>
      </c>
      <c r="AT49" s="133">
        <f t="shared" si="0"/>
        <v>0</v>
      </c>
      <c r="AU49" s="132">
        <v>1</v>
      </c>
      <c r="AV49" s="133">
        <f t="shared" si="0"/>
        <v>0</v>
      </c>
      <c r="AW49" s="132">
        <v>0</v>
      </c>
      <c r="AX49" s="133"/>
      <c r="AY49" s="132">
        <v>0</v>
      </c>
      <c r="AZ49" s="133"/>
      <c r="BA49" s="132">
        <v>0</v>
      </c>
      <c r="BB49" s="133"/>
      <c r="BC49" s="132">
        <v>0</v>
      </c>
      <c r="BD49" s="133">
        <f t="shared" si="3"/>
        <v>0</v>
      </c>
      <c r="BE49" s="132"/>
      <c r="BF49" s="133"/>
      <c r="BG49" s="132">
        <v>0</v>
      </c>
      <c r="BH49" s="133"/>
      <c r="BI49" s="89"/>
      <c r="BJ49" s="83"/>
      <c r="BK49" s="89">
        <v>1</v>
      </c>
      <c r="BL49" s="134"/>
      <c r="BM49" s="85"/>
      <c r="BN49" s="85"/>
      <c r="BO49" s="85"/>
      <c r="BP49" s="134"/>
      <c r="BQ49" s="85"/>
      <c r="BR49" s="85"/>
      <c r="BS49" s="85"/>
      <c r="BT49" s="135"/>
    </row>
    <row r="50" spans="1:72" ht="90.75" thickTop="1" thickBot="1">
      <c r="A50" s="106"/>
      <c r="B50" s="45">
        <v>44</v>
      </c>
      <c r="C50" s="140" t="s">
        <v>323</v>
      </c>
      <c r="D50" s="45" t="s">
        <v>609</v>
      </c>
      <c r="E50" s="46" t="s">
        <v>610</v>
      </c>
      <c r="F50" s="47">
        <v>45582</v>
      </c>
      <c r="G50" s="47"/>
      <c r="H50" s="48"/>
      <c r="I50" s="49" t="s">
        <v>176</v>
      </c>
      <c r="J50" s="46" t="s">
        <v>177</v>
      </c>
      <c r="K50" s="45" t="s">
        <v>325</v>
      </c>
      <c r="L50" s="45" t="s">
        <v>613</v>
      </c>
      <c r="M50" s="50"/>
      <c r="N50" s="71" t="s">
        <v>614</v>
      </c>
      <c r="O50" s="72" t="s">
        <v>615</v>
      </c>
      <c r="P50" s="48"/>
      <c r="Q50" s="48"/>
      <c r="R50" s="45" t="s">
        <v>616</v>
      </c>
      <c r="S50" s="45"/>
      <c r="T50" s="45" t="s">
        <v>617</v>
      </c>
      <c r="U50" s="45"/>
      <c r="V50" s="45" t="s">
        <v>67</v>
      </c>
      <c r="W50" s="51" t="s">
        <v>95</v>
      </c>
      <c r="X50" s="110" t="s">
        <v>463</v>
      </c>
      <c r="Y50" s="72" t="s">
        <v>80</v>
      </c>
      <c r="Z50" s="72" t="s">
        <v>189</v>
      </c>
      <c r="AA50" s="72" t="s">
        <v>656</v>
      </c>
      <c r="AB50" s="111" t="s">
        <v>657</v>
      </c>
      <c r="AC50" s="72" t="s">
        <v>199</v>
      </c>
      <c r="AD50" s="111" t="s">
        <v>199</v>
      </c>
      <c r="AE50" s="103" t="s">
        <v>199</v>
      </c>
      <c r="AF50" s="111" t="s">
        <v>328</v>
      </c>
      <c r="AG50" s="72" t="s">
        <v>196</v>
      </c>
      <c r="AH50" s="111" t="s">
        <v>328</v>
      </c>
      <c r="AI50" s="115" t="s">
        <v>646</v>
      </c>
      <c r="AJ50" s="111" t="s">
        <v>199</v>
      </c>
      <c r="AK50" s="72" t="s">
        <v>189</v>
      </c>
      <c r="AL50" s="72" t="s">
        <v>199</v>
      </c>
      <c r="AM50" s="112" t="s">
        <v>628</v>
      </c>
      <c r="AN50" s="136"/>
      <c r="AO50" s="136">
        <v>0</v>
      </c>
      <c r="AP50" s="136">
        <f t="shared" si="17"/>
        <v>0</v>
      </c>
      <c r="AQ50" s="136">
        <v>0</v>
      </c>
      <c r="AR50" s="136">
        <f t="shared" si="0"/>
        <v>0</v>
      </c>
      <c r="AS50" s="136"/>
      <c r="AT50" s="136">
        <f t="shared" si="0"/>
        <v>0</v>
      </c>
      <c r="AU50" s="136"/>
      <c r="AV50" s="136">
        <f t="shared" si="0"/>
        <v>0</v>
      </c>
      <c r="AW50" s="136">
        <v>0</v>
      </c>
      <c r="AX50" s="136">
        <f t="shared" si="18"/>
        <v>0</v>
      </c>
      <c r="AY50" s="136">
        <v>0</v>
      </c>
      <c r="AZ50" s="136">
        <f t="shared" si="1"/>
        <v>0</v>
      </c>
      <c r="BA50" s="136">
        <v>0</v>
      </c>
      <c r="BB50" s="136">
        <f t="shared" si="2"/>
        <v>0</v>
      </c>
      <c r="BC50" s="136"/>
      <c r="BD50" s="136">
        <f t="shared" si="3"/>
        <v>0</v>
      </c>
      <c r="BE50" s="136">
        <v>0</v>
      </c>
      <c r="BF50" s="136">
        <f t="shared" si="4"/>
        <v>0</v>
      </c>
      <c r="BG50" s="136">
        <v>0</v>
      </c>
      <c r="BH50" s="136">
        <f t="shared" si="5"/>
        <v>0</v>
      </c>
      <c r="BI50" s="88">
        <f t="shared" si="6"/>
        <v>0</v>
      </c>
      <c r="BJ50" s="82" t="s">
        <v>201</v>
      </c>
      <c r="BK50" s="88">
        <v>1</v>
      </c>
      <c r="BL50" s="137"/>
      <c r="BM50" s="84"/>
      <c r="BN50" s="84"/>
      <c r="BO50" s="84"/>
      <c r="BP50" s="137"/>
      <c r="BQ50" s="84"/>
      <c r="BR50" s="84"/>
      <c r="BS50" s="84"/>
      <c r="BT50" s="138"/>
    </row>
    <row r="51" spans="1:72" ht="90.75" thickTop="1" thickBot="1">
      <c r="A51" s="106"/>
      <c r="B51" s="38">
        <v>45</v>
      </c>
      <c r="C51" s="139" t="s">
        <v>658</v>
      </c>
      <c r="D51" s="38" t="s">
        <v>448</v>
      </c>
      <c r="E51" s="39" t="s">
        <v>659</v>
      </c>
      <c r="F51" s="40">
        <v>44277</v>
      </c>
      <c r="G51" s="40" t="s">
        <v>660</v>
      </c>
      <c r="H51" s="41" t="s">
        <v>661</v>
      </c>
      <c r="I51" s="42" t="s">
        <v>176</v>
      </c>
      <c r="J51" s="39" t="s">
        <v>177</v>
      </c>
      <c r="K51" s="38" t="s">
        <v>662</v>
      </c>
      <c r="L51" s="38" t="s">
        <v>663</v>
      </c>
      <c r="M51" s="43" t="s">
        <v>664</v>
      </c>
      <c r="N51" s="70" t="s">
        <v>665</v>
      </c>
      <c r="O51" s="38" t="s">
        <v>666</v>
      </c>
      <c r="P51" s="41"/>
      <c r="Q51" s="41"/>
      <c r="R51" s="38"/>
      <c r="S51" s="38"/>
      <c r="T51" s="73"/>
      <c r="U51" s="73"/>
      <c r="V51" s="73" t="s">
        <v>67</v>
      </c>
      <c r="W51" s="44" t="s">
        <v>95</v>
      </c>
      <c r="X51" s="113" t="s">
        <v>667</v>
      </c>
      <c r="Y51" s="73" t="s">
        <v>84</v>
      </c>
      <c r="Z51" s="73" t="s">
        <v>189</v>
      </c>
      <c r="AA51" s="73" t="s">
        <v>668</v>
      </c>
      <c r="AB51" s="74" t="s">
        <v>669</v>
      </c>
      <c r="AC51" s="73" t="s">
        <v>199</v>
      </c>
      <c r="AD51" s="74" t="s">
        <v>199</v>
      </c>
      <c r="AE51" s="114" t="s">
        <v>199</v>
      </c>
      <c r="AF51" s="74" t="s">
        <v>199</v>
      </c>
      <c r="AG51" s="73" t="s">
        <v>189</v>
      </c>
      <c r="AH51" s="74" t="s">
        <v>199</v>
      </c>
      <c r="AI51" s="116" t="s">
        <v>670</v>
      </c>
      <c r="AJ51" s="74" t="s">
        <v>199</v>
      </c>
      <c r="AK51" s="73" t="s">
        <v>189</v>
      </c>
      <c r="AL51" s="73" t="s">
        <v>199</v>
      </c>
      <c r="AM51" s="104" t="s">
        <v>671</v>
      </c>
      <c r="AN51" s="132"/>
      <c r="AO51" s="132">
        <v>0</v>
      </c>
      <c r="AP51" s="133">
        <f t="shared" si="17"/>
        <v>0</v>
      </c>
      <c r="AQ51" s="132">
        <v>0</v>
      </c>
      <c r="AR51" s="133">
        <f t="shared" si="0"/>
        <v>0</v>
      </c>
      <c r="AS51" s="132">
        <v>0</v>
      </c>
      <c r="AT51" s="133">
        <f t="shared" si="0"/>
        <v>0</v>
      </c>
      <c r="AU51" s="132">
        <v>0</v>
      </c>
      <c r="AV51" s="133">
        <f t="shared" si="0"/>
        <v>0</v>
      </c>
      <c r="AW51" s="132">
        <v>0</v>
      </c>
      <c r="AX51" s="133">
        <f t="shared" si="18"/>
        <v>0</v>
      </c>
      <c r="AY51" s="132">
        <v>0</v>
      </c>
      <c r="AZ51" s="133">
        <f t="shared" si="1"/>
        <v>0</v>
      </c>
      <c r="BA51" s="132">
        <v>0</v>
      </c>
      <c r="BB51" s="133">
        <f t="shared" si="2"/>
        <v>0</v>
      </c>
      <c r="BC51" s="132">
        <v>0</v>
      </c>
      <c r="BD51" s="133">
        <f t="shared" si="3"/>
        <v>0</v>
      </c>
      <c r="BE51" s="132">
        <v>0</v>
      </c>
      <c r="BF51" s="133">
        <f t="shared" si="4"/>
        <v>0</v>
      </c>
      <c r="BG51" s="132">
        <v>0</v>
      </c>
      <c r="BH51" s="133">
        <f t="shared" si="5"/>
        <v>0</v>
      </c>
      <c r="BI51" s="89">
        <f t="shared" si="6"/>
        <v>0</v>
      </c>
      <c r="BJ51" s="83" t="s">
        <v>201</v>
      </c>
      <c r="BK51" s="89">
        <v>0</v>
      </c>
      <c r="BL51" s="134"/>
      <c r="BM51" s="85"/>
      <c r="BN51" s="85"/>
      <c r="BO51" s="85"/>
      <c r="BP51" s="134"/>
      <c r="BQ51" s="85"/>
      <c r="BR51" s="85"/>
      <c r="BS51" s="85"/>
      <c r="BT51" s="135"/>
    </row>
    <row r="52" spans="1:72" ht="65.25" thickTop="1" thickBot="1">
      <c r="A52" s="106"/>
      <c r="B52" s="45">
        <v>46</v>
      </c>
      <c r="C52" s="140" t="s">
        <v>313</v>
      </c>
      <c r="D52" s="45" t="s">
        <v>448</v>
      </c>
      <c r="E52" s="46" t="s">
        <v>659</v>
      </c>
      <c r="F52" s="47">
        <v>44277</v>
      </c>
      <c r="G52" s="47">
        <v>45468</v>
      </c>
      <c r="H52" s="48" t="s">
        <v>672</v>
      </c>
      <c r="I52" s="49" t="s">
        <v>176</v>
      </c>
      <c r="J52" s="46" t="s">
        <v>177</v>
      </c>
      <c r="K52" s="45" t="s">
        <v>673</v>
      </c>
      <c r="L52" s="45" t="s">
        <v>663</v>
      </c>
      <c r="M52" s="50" t="s">
        <v>664</v>
      </c>
      <c r="N52" s="71" t="s">
        <v>665</v>
      </c>
      <c r="O52" s="72" t="s">
        <v>666</v>
      </c>
      <c r="P52" s="48"/>
      <c r="Q52" s="48"/>
      <c r="R52" s="45"/>
      <c r="S52" s="45"/>
      <c r="T52" s="45"/>
      <c r="U52" s="45"/>
      <c r="V52" s="45" t="s">
        <v>67</v>
      </c>
      <c r="W52" s="51" t="s">
        <v>95</v>
      </c>
      <c r="X52" s="110" t="s">
        <v>667</v>
      </c>
      <c r="Y52" s="72" t="s">
        <v>84</v>
      </c>
      <c r="Z52" s="72" t="s">
        <v>189</v>
      </c>
      <c r="AA52" s="72" t="s">
        <v>674</v>
      </c>
      <c r="AB52" s="111" t="s">
        <v>675</v>
      </c>
      <c r="AC52" s="72" t="s">
        <v>676</v>
      </c>
      <c r="AD52" s="111" t="s">
        <v>270</v>
      </c>
      <c r="AE52" s="103" t="s">
        <v>677</v>
      </c>
      <c r="AF52" s="111" t="s">
        <v>678</v>
      </c>
      <c r="AG52" s="72" t="s">
        <v>189</v>
      </c>
      <c r="AH52" s="111" t="s">
        <v>199</v>
      </c>
      <c r="AI52" s="115" t="s">
        <v>679</v>
      </c>
      <c r="AJ52" s="111" t="s">
        <v>199</v>
      </c>
      <c r="AK52" s="72" t="s">
        <v>189</v>
      </c>
      <c r="AL52" s="72" t="s">
        <v>199</v>
      </c>
      <c r="AM52" s="112"/>
      <c r="AN52" s="136"/>
      <c r="AO52" s="136">
        <v>0</v>
      </c>
      <c r="AP52" s="136">
        <f t="shared" si="17"/>
        <v>0</v>
      </c>
      <c r="AQ52" s="136">
        <v>0</v>
      </c>
      <c r="AR52" s="136"/>
      <c r="AS52" s="136">
        <v>0</v>
      </c>
      <c r="AT52" s="136">
        <f t="shared" ref="AT52" si="39">$AN52*AS52</f>
        <v>0</v>
      </c>
      <c r="AU52" s="136">
        <v>0</v>
      </c>
      <c r="AV52" s="136"/>
      <c r="AW52" s="136">
        <v>0</v>
      </c>
      <c r="AX52" s="136"/>
      <c r="AY52" s="136">
        <v>0</v>
      </c>
      <c r="AZ52" s="136"/>
      <c r="BA52" s="136">
        <v>0</v>
      </c>
      <c r="BB52" s="136"/>
      <c r="BC52" s="136">
        <v>0</v>
      </c>
      <c r="BD52" s="136">
        <f t="shared" si="3"/>
        <v>0</v>
      </c>
      <c r="BE52" s="136"/>
      <c r="BF52" s="136"/>
      <c r="BG52" s="136">
        <v>0</v>
      </c>
      <c r="BH52" s="136"/>
      <c r="BI52" s="88"/>
      <c r="BJ52" s="82"/>
      <c r="BK52" s="88">
        <v>0</v>
      </c>
      <c r="BL52" s="137"/>
      <c r="BM52" s="84"/>
      <c r="BN52" s="84"/>
      <c r="BO52" s="84"/>
      <c r="BP52" s="137"/>
      <c r="BQ52" s="84"/>
      <c r="BR52" s="84"/>
      <c r="BS52" s="84"/>
      <c r="BT52" s="138"/>
    </row>
    <row r="53" spans="1:72" ht="103.5" thickTop="1" thickBot="1">
      <c r="A53" s="106"/>
      <c r="B53" s="38">
        <v>47</v>
      </c>
      <c r="C53" s="139" t="s">
        <v>323</v>
      </c>
      <c r="D53" s="38" t="s">
        <v>680</v>
      </c>
      <c r="E53" s="39" t="s">
        <v>659</v>
      </c>
      <c r="F53" s="40">
        <v>45582</v>
      </c>
      <c r="G53" s="40">
        <v>45838</v>
      </c>
      <c r="H53" s="41" t="s">
        <v>681</v>
      </c>
      <c r="I53" s="42" t="s">
        <v>176</v>
      </c>
      <c r="J53" s="39" t="s">
        <v>177</v>
      </c>
      <c r="K53" s="38" t="s">
        <v>325</v>
      </c>
      <c r="L53" s="38" t="s">
        <v>682</v>
      </c>
      <c r="M53" s="43" t="s">
        <v>683</v>
      </c>
      <c r="N53" s="70" t="s">
        <v>684</v>
      </c>
      <c r="O53" s="38" t="s">
        <v>666</v>
      </c>
      <c r="P53" s="41"/>
      <c r="Q53" s="41"/>
      <c r="R53" s="38"/>
      <c r="S53" s="38"/>
      <c r="T53" s="73"/>
      <c r="U53" s="73"/>
      <c r="V53" s="73" t="s">
        <v>67</v>
      </c>
      <c r="W53" s="44" t="s">
        <v>95</v>
      </c>
      <c r="X53" s="113" t="s">
        <v>667</v>
      </c>
      <c r="Y53" s="73" t="s">
        <v>84</v>
      </c>
      <c r="Z53" s="73" t="s">
        <v>189</v>
      </c>
      <c r="AA53" s="73" t="s">
        <v>557</v>
      </c>
      <c r="AB53" s="74" t="s">
        <v>685</v>
      </c>
      <c r="AC53" s="73" t="s">
        <v>199</v>
      </c>
      <c r="AD53" s="74" t="s">
        <v>199</v>
      </c>
      <c r="AE53" s="114" t="s">
        <v>199</v>
      </c>
      <c r="AF53" s="74" t="s">
        <v>328</v>
      </c>
      <c r="AG53" s="73" t="s">
        <v>189</v>
      </c>
      <c r="AH53" s="74" t="s">
        <v>199</v>
      </c>
      <c r="AI53" s="116" t="s">
        <v>686</v>
      </c>
      <c r="AJ53" s="74" t="s">
        <v>199</v>
      </c>
      <c r="AK53" s="73" t="s">
        <v>189</v>
      </c>
      <c r="AL53" s="73" t="s">
        <v>199</v>
      </c>
      <c r="AM53" s="104" t="s">
        <v>687</v>
      </c>
      <c r="AN53" s="132"/>
      <c r="AO53" s="132">
        <v>0</v>
      </c>
      <c r="AP53" s="133">
        <f t="shared" si="17"/>
        <v>0</v>
      </c>
      <c r="AQ53" s="132">
        <v>0</v>
      </c>
      <c r="AR53" s="133">
        <f t="shared" si="0"/>
        <v>0</v>
      </c>
      <c r="AS53" s="132"/>
      <c r="AT53" s="133">
        <f t="shared" si="0"/>
        <v>0</v>
      </c>
      <c r="AU53" s="132"/>
      <c r="AV53" s="133">
        <f t="shared" si="0"/>
        <v>0</v>
      </c>
      <c r="AW53" s="132">
        <v>0</v>
      </c>
      <c r="AX53" s="133">
        <f t="shared" si="18"/>
        <v>0</v>
      </c>
      <c r="AY53" s="132">
        <v>0</v>
      </c>
      <c r="AZ53" s="133">
        <f t="shared" si="1"/>
        <v>0</v>
      </c>
      <c r="BA53" s="132">
        <v>0</v>
      </c>
      <c r="BB53" s="133">
        <f t="shared" si="2"/>
        <v>0</v>
      </c>
      <c r="BC53" s="132"/>
      <c r="BD53" s="133">
        <f t="shared" si="3"/>
        <v>0</v>
      </c>
      <c r="BE53" s="132">
        <v>0</v>
      </c>
      <c r="BF53" s="133">
        <f t="shared" si="4"/>
        <v>0</v>
      </c>
      <c r="BG53" s="132">
        <v>0</v>
      </c>
      <c r="BH53" s="133">
        <f t="shared" si="5"/>
        <v>0</v>
      </c>
      <c r="BI53" s="89">
        <f t="shared" si="6"/>
        <v>0</v>
      </c>
      <c r="BJ53" s="83" t="s">
        <v>201</v>
      </c>
      <c r="BK53" s="89">
        <v>0</v>
      </c>
      <c r="BL53" s="134"/>
      <c r="BM53" s="85"/>
      <c r="BN53" s="85"/>
      <c r="BO53" s="85"/>
      <c r="BP53" s="134"/>
      <c r="BQ53" s="85"/>
      <c r="BR53" s="85"/>
      <c r="BS53" s="85"/>
      <c r="BT53" s="135"/>
    </row>
    <row r="54" spans="1:72" ht="65.25" thickTop="1" thickBot="1">
      <c r="A54" s="106"/>
      <c r="B54" s="45">
        <v>48</v>
      </c>
      <c r="C54" s="140" t="s">
        <v>221</v>
      </c>
      <c r="D54" s="45" t="s">
        <v>448</v>
      </c>
      <c r="E54" s="46" t="s">
        <v>659</v>
      </c>
      <c r="F54" s="47">
        <v>45090</v>
      </c>
      <c r="G54" s="47" t="s">
        <v>288</v>
      </c>
      <c r="H54" s="48" t="s">
        <v>688</v>
      </c>
      <c r="I54" s="49" t="s">
        <v>176</v>
      </c>
      <c r="J54" s="46" t="s">
        <v>177</v>
      </c>
      <c r="K54" s="45" t="s">
        <v>689</v>
      </c>
      <c r="L54" s="45" t="s">
        <v>663</v>
      </c>
      <c r="M54" s="50" t="s">
        <v>664</v>
      </c>
      <c r="N54" s="71" t="s">
        <v>665</v>
      </c>
      <c r="O54" s="72" t="s">
        <v>666</v>
      </c>
      <c r="P54" s="48" t="s">
        <v>690</v>
      </c>
      <c r="Q54" s="48"/>
      <c r="R54" s="45"/>
      <c r="S54" s="45"/>
      <c r="T54" s="45"/>
      <c r="U54" s="45"/>
      <c r="V54" s="45" t="s">
        <v>67</v>
      </c>
      <c r="W54" s="51" t="s">
        <v>95</v>
      </c>
      <c r="X54" s="110" t="s">
        <v>455</v>
      </c>
      <c r="Y54" s="72" t="s">
        <v>84</v>
      </c>
      <c r="Z54" s="72" t="s">
        <v>589</v>
      </c>
      <c r="AA54" s="72" t="s">
        <v>691</v>
      </c>
      <c r="AB54" s="111" t="s">
        <v>692</v>
      </c>
      <c r="AC54" s="72" t="s">
        <v>693</v>
      </c>
      <c r="AD54" s="111" t="s">
        <v>694</v>
      </c>
      <c r="AE54" s="103" t="s">
        <v>199</v>
      </c>
      <c r="AF54" s="111" t="s">
        <v>199</v>
      </c>
      <c r="AG54" s="72" t="s">
        <v>199</v>
      </c>
      <c r="AH54" s="111" t="s">
        <v>199</v>
      </c>
      <c r="AI54" s="115" t="s">
        <v>695</v>
      </c>
      <c r="AJ54" s="111" t="s">
        <v>199</v>
      </c>
      <c r="AK54" s="72" t="s">
        <v>189</v>
      </c>
      <c r="AL54" s="72" t="s">
        <v>199</v>
      </c>
      <c r="AM54" s="112" t="s">
        <v>696</v>
      </c>
      <c r="AN54" s="136"/>
      <c r="AO54" s="136">
        <v>0</v>
      </c>
      <c r="AP54" s="136">
        <f t="shared" si="17"/>
        <v>0</v>
      </c>
      <c r="AQ54" s="136">
        <v>0</v>
      </c>
      <c r="AR54" s="136">
        <f t="shared" si="0"/>
        <v>0</v>
      </c>
      <c r="AS54" s="136">
        <v>0</v>
      </c>
      <c r="AT54" s="136">
        <f t="shared" si="0"/>
        <v>0</v>
      </c>
      <c r="AU54" s="136">
        <v>0</v>
      </c>
      <c r="AV54" s="136">
        <f t="shared" si="0"/>
        <v>0</v>
      </c>
      <c r="AW54" s="136">
        <v>0</v>
      </c>
      <c r="AX54" s="136">
        <f t="shared" si="18"/>
        <v>0</v>
      </c>
      <c r="AY54" s="136">
        <v>0</v>
      </c>
      <c r="AZ54" s="136">
        <f t="shared" si="1"/>
        <v>0</v>
      </c>
      <c r="BA54" s="136">
        <v>0</v>
      </c>
      <c r="BB54" s="136">
        <f t="shared" si="2"/>
        <v>0</v>
      </c>
      <c r="BC54" s="136">
        <v>0</v>
      </c>
      <c r="BD54" s="136">
        <f t="shared" si="3"/>
        <v>0</v>
      </c>
      <c r="BE54" s="136">
        <v>0</v>
      </c>
      <c r="BF54" s="136">
        <f t="shared" si="4"/>
        <v>0</v>
      </c>
      <c r="BG54" s="136">
        <v>0</v>
      </c>
      <c r="BH54" s="136">
        <f t="shared" si="5"/>
        <v>0</v>
      </c>
      <c r="BI54" s="88">
        <f t="shared" si="6"/>
        <v>0</v>
      </c>
      <c r="BJ54" s="82" t="s">
        <v>201</v>
      </c>
      <c r="BK54" s="88">
        <v>0</v>
      </c>
      <c r="BL54" s="137"/>
      <c r="BM54" s="84"/>
      <c r="BN54" s="84"/>
      <c r="BO54" s="84"/>
      <c r="BP54" s="137"/>
      <c r="BQ54" s="84"/>
      <c r="BR54" s="84"/>
      <c r="BS54" s="84"/>
      <c r="BT54" s="138"/>
    </row>
    <row r="55" spans="1:72" ht="78" thickTop="1" thickBot="1">
      <c r="A55" s="106"/>
      <c r="B55" s="38">
        <v>49</v>
      </c>
      <c r="C55" s="139" t="s">
        <v>296</v>
      </c>
      <c r="D55" s="38" t="s">
        <v>448</v>
      </c>
      <c r="E55" s="39" t="s">
        <v>659</v>
      </c>
      <c r="F55" s="40">
        <v>45077</v>
      </c>
      <c r="G55" s="40" t="s">
        <v>697</v>
      </c>
      <c r="H55" s="41" t="s">
        <v>698</v>
      </c>
      <c r="I55" s="42" t="s">
        <v>176</v>
      </c>
      <c r="J55" s="39" t="s">
        <v>177</v>
      </c>
      <c r="K55" s="38" t="s">
        <v>699</v>
      </c>
      <c r="L55" s="38" t="s">
        <v>663</v>
      </c>
      <c r="M55" s="43" t="s">
        <v>700</v>
      </c>
      <c r="N55" s="70" t="s">
        <v>665</v>
      </c>
      <c r="O55" s="38" t="s">
        <v>666</v>
      </c>
      <c r="P55" s="41" t="s">
        <v>690</v>
      </c>
      <c r="Q55" s="41"/>
      <c r="R55" s="38"/>
      <c r="S55" s="38"/>
      <c r="T55" s="73" t="s">
        <v>701</v>
      </c>
      <c r="U55" s="73"/>
      <c r="V55" s="73" t="s">
        <v>67</v>
      </c>
      <c r="W55" s="44" t="s">
        <v>95</v>
      </c>
      <c r="X55" s="113" t="s">
        <v>455</v>
      </c>
      <c r="Y55" s="73" t="s">
        <v>84</v>
      </c>
      <c r="Z55" s="73" t="s">
        <v>589</v>
      </c>
      <c r="AA55" s="73" t="s">
        <v>199</v>
      </c>
      <c r="AB55" s="74" t="s">
        <v>199</v>
      </c>
      <c r="AC55" s="73" t="s">
        <v>199</v>
      </c>
      <c r="AD55" s="74" t="s">
        <v>199</v>
      </c>
      <c r="AE55" s="114" t="s">
        <v>199</v>
      </c>
      <c r="AF55" s="74" t="s">
        <v>199</v>
      </c>
      <c r="AG55" s="73" t="s">
        <v>199</v>
      </c>
      <c r="AH55" s="74" t="s">
        <v>199</v>
      </c>
      <c r="AI55" s="116" t="s">
        <v>702</v>
      </c>
      <c r="AJ55" s="74" t="s">
        <v>199</v>
      </c>
      <c r="AK55" s="73" t="s">
        <v>189</v>
      </c>
      <c r="AL55" s="73" t="s">
        <v>199</v>
      </c>
      <c r="AM55" s="104" t="s">
        <v>703</v>
      </c>
      <c r="AN55" s="132"/>
      <c r="AO55" s="132">
        <v>0</v>
      </c>
      <c r="AP55" s="133">
        <f t="shared" si="17"/>
        <v>0</v>
      </c>
      <c r="AQ55" s="132">
        <v>0</v>
      </c>
      <c r="AR55" s="133">
        <f t="shared" si="0"/>
        <v>0</v>
      </c>
      <c r="AS55" s="132">
        <v>0</v>
      </c>
      <c r="AT55" s="133">
        <f t="shared" si="0"/>
        <v>0</v>
      </c>
      <c r="AU55" s="132">
        <v>0</v>
      </c>
      <c r="AV55" s="133">
        <f t="shared" si="0"/>
        <v>0</v>
      </c>
      <c r="AW55" s="132">
        <v>0</v>
      </c>
      <c r="AX55" s="133">
        <f t="shared" si="18"/>
        <v>0</v>
      </c>
      <c r="AY55" s="132">
        <v>0</v>
      </c>
      <c r="AZ55" s="133">
        <f t="shared" si="1"/>
        <v>0</v>
      </c>
      <c r="BA55" s="132">
        <v>0</v>
      </c>
      <c r="BB55" s="133">
        <f t="shared" si="2"/>
        <v>0</v>
      </c>
      <c r="BC55" s="132">
        <v>0</v>
      </c>
      <c r="BD55" s="133">
        <f t="shared" si="3"/>
        <v>0</v>
      </c>
      <c r="BE55" s="132">
        <v>0</v>
      </c>
      <c r="BF55" s="133">
        <f t="shared" si="4"/>
        <v>0</v>
      </c>
      <c r="BG55" s="132">
        <v>0</v>
      </c>
      <c r="BH55" s="133">
        <f t="shared" si="5"/>
        <v>0</v>
      </c>
      <c r="BI55" s="89">
        <f t="shared" si="6"/>
        <v>0</v>
      </c>
      <c r="BJ55" s="83" t="s">
        <v>201</v>
      </c>
      <c r="BK55" s="89">
        <v>0</v>
      </c>
      <c r="BL55" s="134"/>
      <c r="BM55" s="85"/>
      <c r="BN55" s="85"/>
      <c r="BO55" s="85"/>
      <c r="BP55" s="134"/>
      <c r="BQ55" s="85"/>
      <c r="BR55" s="85"/>
      <c r="BS55" s="85"/>
      <c r="BT55" s="135"/>
    </row>
    <row r="56" spans="1:72" ht="65.25" thickTop="1" thickBot="1">
      <c r="A56" s="106"/>
      <c r="B56" s="45">
        <v>50</v>
      </c>
      <c r="C56" s="140" t="s">
        <v>203</v>
      </c>
      <c r="D56" s="45" t="s">
        <v>448</v>
      </c>
      <c r="E56" s="46" t="s">
        <v>704</v>
      </c>
      <c r="F56" s="47">
        <v>44277</v>
      </c>
      <c r="G56" s="47">
        <v>45855</v>
      </c>
      <c r="H56" s="48" t="s">
        <v>705</v>
      </c>
      <c r="I56" s="49" t="s">
        <v>176</v>
      </c>
      <c r="J56" s="46" t="s">
        <v>177</v>
      </c>
      <c r="K56" s="45" t="s">
        <v>689</v>
      </c>
      <c r="L56" s="45" t="s">
        <v>663</v>
      </c>
      <c r="M56" s="50" t="s">
        <v>664</v>
      </c>
      <c r="N56" s="71" t="s">
        <v>665</v>
      </c>
      <c r="O56" s="72" t="s">
        <v>706</v>
      </c>
      <c r="P56" s="48" t="s">
        <v>707</v>
      </c>
      <c r="Q56" s="48"/>
      <c r="R56" s="45"/>
      <c r="S56" s="45"/>
      <c r="T56" s="45" t="s">
        <v>701</v>
      </c>
      <c r="U56" s="45" t="s">
        <v>708</v>
      </c>
      <c r="V56" s="45" t="s">
        <v>67</v>
      </c>
      <c r="W56" s="51" t="s">
        <v>95</v>
      </c>
      <c r="X56" s="110" t="s">
        <v>709</v>
      </c>
      <c r="Y56" s="72" t="s">
        <v>84</v>
      </c>
      <c r="Z56" s="72" t="s">
        <v>589</v>
      </c>
      <c r="AA56" s="72" t="s">
        <v>710</v>
      </c>
      <c r="AB56" s="111" t="s">
        <v>711</v>
      </c>
      <c r="AC56" s="72" t="s">
        <v>712</v>
      </c>
      <c r="AD56" s="111" t="s">
        <v>713</v>
      </c>
      <c r="AE56" s="103" t="s">
        <v>714</v>
      </c>
      <c r="AF56" s="111" t="s">
        <v>189</v>
      </c>
      <c r="AG56" s="72" t="s">
        <v>196</v>
      </c>
      <c r="AH56" s="111" t="s">
        <v>605</v>
      </c>
      <c r="AI56" s="115" t="s">
        <v>715</v>
      </c>
      <c r="AJ56" s="111" t="s">
        <v>199</v>
      </c>
      <c r="AK56" s="72" t="s">
        <v>189</v>
      </c>
      <c r="AL56" s="72" t="s">
        <v>199</v>
      </c>
      <c r="AM56" s="112" t="s">
        <v>716</v>
      </c>
      <c r="AN56" s="136"/>
      <c r="AO56" s="136">
        <v>0</v>
      </c>
      <c r="AP56" s="136">
        <f t="shared" si="17"/>
        <v>0</v>
      </c>
      <c r="AQ56" s="136">
        <v>0</v>
      </c>
      <c r="AR56" s="136">
        <f t="shared" si="0"/>
        <v>0</v>
      </c>
      <c r="AS56" s="136"/>
      <c r="AT56" s="136">
        <f t="shared" si="0"/>
        <v>0</v>
      </c>
      <c r="AU56" s="136"/>
      <c r="AV56" s="136">
        <f t="shared" si="0"/>
        <v>0</v>
      </c>
      <c r="AW56" s="136">
        <v>0</v>
      </c>
      <c r="AX56" s="136">
        <f t="shared" si="18"/>
        <v>0</v>
      </c>
      <c r="AY56" s="136">
        <v>0</v>
      </c>
      <c r="AZ56" s="136">
        <f t="shared" si="1"/>
        <v>0</v>
      </c>
      <c r="BA56" s="136">
        <v>0</v>
      </c>
      <c r="BB56" s="136">
        <f t="shared" si="2"/>
        <v>0</v>
      </c>
      <c r="BC56" s="136"/>
      <c r="BD56" s="136">
        <f t="shared" si="3"/>
        <v>0</v>
      </c>
      <c r="BE56" s="136">
        <v>0</v>
      </c>
      <c r="BF56" s="136">
        <f t="shared" si="4"/>
        <v>0</v>
      </c>
      <c r="BG56" s="136">
        <v>0</v>
      </c>
      <c r="BH56" s="136">
        <f t="shared" si="5"/>
        <v>0</v>
      </c>
      <c r="BI56" s="88">
        <f t="shared" si="6"/>
        <v>0</v>
      </c>
      <c r="BJ56" s="82" t="s">
        <v>201</v>
      </c>
      <c r="BK56" s="88">
        <v>0</v>
      </c>
      <c r="BL56" s="137"/>
      <c r="BM56" s="84"/>
      <c r="BN56" s="84"/>
      <c r="BO56" s="84"/>
      <c r="BP56" s="137"/>
      <c r="BQ56" s="84"/>
      <c r="BR56" s="84"/>
      <c r="BS56" s="84"/>
      <c r="BT56" s="138"/>
    </row>
    <row r="57" spans="1:72" ht="65.25" thickTop="1" thickBot="1">
      <c r="A57" s="106"/>
      <c r="B57" s="38">
        <v>51</v>
      </c>
      <c r="C57" s="139" t="s">
        <v>217</v>
      </c>
      <c r="D57" s="38" t="s">
        <v>448</v>
      </c>
      <c r="E57" s="39" t="s">
        <v>659</v>
      </c>
      <c r="F57" s="40">
        <v>44277</v>
      </c>
      <c r="G57" s="40" t="s">
        <v>418</v>
      </c>
      <c r="H57" s="41" t="s">
        <v>717</v>
      </c>
      <c r="I57" s="42" t="s">
        <v>176</v>
      </c>
      <c r="J57" s="39" t="s">
        <v>177</v>
      </c>
      <c r="K57" s="38" t="s">
        <v>689</v>
      </c>
      <c r="L57" s="38" t="s">
        <v>663</v>
      </c>
      <c r="M57" s="43" t="s">
        <v>664</v>
      </c>
      <c r="N57" s="70" t="s">
        <v>665</v>
      </c>
      <c r="O57" s="38" t="s">
        <v>666</v>
      </c>
      <c r="P57" s="41"/>
      <c r="Q57" s="41"/>
      <c r="R57" s="38"/>
      <c r="S57" s="38"/>
      <c r="T57" s="73" t="s">
        <v>701</v>
      </c>
      <c r="U57" s="73" t="s">
        <v>708</v>
      </c>
      <c r="V57" s="73" t="s">
        <v>67</v>
      </c>
      <c r="W57" s="44" t="s">
        <v>95</v>
      </c>
      <c r="X57" s="113" t="s">
        <v>709</v>
      </c>
      <c r="Y57" s="73" t="s">
        <v>84</v>
      </c>
      <c r="Z57" s="73" t="s">
        <v>589</v>
      </c>
      <c r="AA57" s="73" t="s">
        <v>718</v>
      </c>
      <c r="AB57" s="74" t="s">
        <v>719</v>
      </c>
      <c r="AC57" s="73" t="s">
        <v>199</v>
      </c>
      <c r="AD57" s="74" t="s">
        <v>199</v>
      </c>
      <c r="AE57" s="114" t="s">
        <v>199</v>
      </c>
      <c r="AF57" s="74" t="s">
        <v>720</v>
      </c>
      <c r="AG57" s="73" t="s">
        <v>189</v>
      </c>
      <c r="AH57" s="74"/>
      <c r="AI57" s="116" t="s">
        <v>721</v>
      </c>
      <c r="AJ57" s="74" t="s">
        <v>199</v>
      </c>
      <c r="AK57" s="73" t="s">
        <v>189</v>
      </c>
      <c r="AL57" s="73" t="s">
        <v>199</v>
      </c>
      <c r="AM57" s="104"/>
      <c r="AN57" s="132"/>
      <c r="AO57" s="132">
        <v>0</v>
      </c>
      <c r="AP57" s="133">
        <f t="shared" si="17"/>
        <v>0</v>
      </c>
      <c r="AQ57" s="132">
        <v>0</v>
      </c>
      <c r="AR57" s="133">
        <f t="shared" si="0"/>
        <v>0</v>
      </c>
      <c r="AS57" s="132">
        <v>0</v>
      </c>
      <c r="AT57" s="133">
        <f t="shared" si="0"/>
        <v>0</v>
      </c>
      <c r="AU57" s="132">
        <v>0</v>
      </c>
      <c r="AV57" s="133">
        <f t="shared" si="0"/>
        <v>0</v>
      </c>
      <c r="AW57" s="132">
        <v>0</v>
      </c>
      <c r="AX57" s="133">
        <f t="shared" si="18"/>
        <v>0</v>
      </c>
      <c r="AY57" s="132">
        <v>0</v>
      </c>
      <c r="AZ57" s="133">
        <f t="shared" si="1"/>
        <v>0</v>
      </c>
      <c r="BA57" s="132">
        <v>0</v>
      </c>
      <c r="BB57" s="133">
        <f t="shared" si="2"/>
        <v>0</v>
      </c>
      <c r="BC57" s="132">
        <v>0</v>
      </c>
      <c r="BD57" s="133">
        <f t="shared" si="3"/>
        <v>0</v>
      </c>
      <c r="BE57" s="132">
        <v>0</v>
      </c>
      <c r="BF57" s="133">
        <f t="shared" si="4"/>
        <v>0</v>
      </c>
      <c r="BG57" s="132">
        <v>0</v>
      </c>
      <c r="BH57" s="133">
        <f t="shared" si="5"/>
        <v>0</v>
      </c>
      <c r="BI57" s="89">
        <f t="shared" si="6"/>
        <v>0</v>
      </c>
      <c r="BJ57" s="83" t="s">
        <v>201</v>
      </c>
      <c r="BK57" s="89">
        <v>0</v>
      </c>
      <c r="BL57" s="134"/>
      <c r="BM57" s="85"/>
      <c r="BN57" s="85"/>
      <c r="BO57" s="85"/>
      <c r="BP57" s="134"/>
      <c r="BQ57" s="85"/>
      <c r="BR57" s="85"/>
      <c r="BS57" s="85"/>
      <c r="BT57" s="135"/>
    </row>
    <row r="58" spans="1:72" ht="65.25" thickTop="1" thickBot="1">
      <c r="A58" s="106"/>
      <c r="B58" s="45">
        <v>52</v>
      </c>
      <c r="C58" s="140" t="s">
        <v>258</v>
      </c>
      <c r="D58" s="45" t="s">
        <v>448</v>
      </c>
      <c r="E58" s="46" t="s">
        <v>722</v>
      </c>
      <c r="F58" s="47">
        <v>44277</v>
      </c>
      <c r="G58" s="47">
        <v>45562</v>
      </c>
      <c r="H58" s="48" t="s">
        <v>549</v>
      </c>
      <c r="I58" s="49" t="s">
        <v>176</v>
      </c>
      <c r="J58" s="46" t="s">
        <v>177</v>
      </c>
      <c r="K58" s="45" t="s">
        <v>699</v>
      </c>
      <c r="L58" s="45" t="s">
        <v>663</v>
      </c>
      <c r="M58" s="50" t="s">
        <v>664</v>
      </c>
      <c r="N58" s="71" t="s">
        <v>455</v>
      </c>
      <c r="O58" s="72" t="s">
        <v>666</v>
      </c>
      <c r="P58" s="48" t="s">
        <v>723</v>
      </c>
      <c r="Q58" s="48"/>
      <c r="R58" s="45"/>
      <c r="S58" s="45"/>
      <c r="T58" s="45"/>
      <c r="U58" s="45"/>
      <c r="V58" s="45" t="s">
        <v>67</v>
      </c>
      <c r="W58" s="51" t="s">
        <v>95</v>
      </c>
      <c r="X58" s="110" t="s">
        <v>709</v>
      </c>
      <c r="Y58" s="72" t="s">
        <v>84</v>
      </c>
      <c r="Z58" s="72" t="s">
        <v>589</v>
      </c>
      <c r="AA58" s="72" t="s">
        <v>724</v>
      </c>
      <c r="AB58" s="111" t="s">
        <v>725</v>
      </c>
      <c r="AC58" s="72" t="s">
        <v>199</v>
      </c>
      <c r="AD58" s="111" t="s">
        <v>199</v>
      </c>
      <c r="AE58" s="103" t="s">
        <v>199</v>
      </c>
      <c r="AF58" s="111" t="s">
        <v>604</v>
      </c>
      <c r="AG58" s="72" t="s">
        <v>196</v>
      </c>
      <c r="AH58" s="111" t="s">
        <v>605</v>
      </c>
      <c r="AI58" s="115" t="s">
        <v>726</v>
      </c>
      <c r="AJ58" s="111" t="s">
        <v>199</v>
      </c>
      <c r="AK58" s="72" t="s">
        <v>189</v>
      </c>
      <c r="AL58" s="72" t="s">
        <v>199</v>
      </c>
      <c r="AM58" s="112"/>
      <c r="AN58" s="136"/>
      <c r="AO58" s="136">
        <v>0</v>
      </c>
      <c r="AP58" s="136">
        <f t="shared" si="17"/>
        <v>0</v>
      </c>
      <c r="AQ58" s="136">
        <v>0</v>
      </c>
      <c r="AR58" s="136">
        <f t="shared" si="0"/>
        <v>0</v>
      </c>
      <c r="AS58" s="136">
        <v>3</v>
      </c>
      <c r="AT58" s="136">
        <f t="shared" si="0"/>
        <v>0</v>
      </c>
      <c r="AU58" s="136">
        <v>0</v>
      </c>
      <c r="AV58" s="136">
        <f t="shared" si="0"/>
        <v>0</v>
      </c>
      <c r="AW58" s="136">
        <v>0</v>
      </c>
      <c r="AX58" s="136">
        <f t="shared" si="18"/>
        <v>0</v>
      </c>
      <c r="AY58" s="136">
        <v>0</v>
      </c>
      <c r="AZ58" s="136">
        <f t="shared" si="1"/>
        <v>0</v>
      </c>
      <c r="BA58" s="136">
        <v>0</v>
      </c>
      <c r="BB58" s="136">
        <f t="shared" si="2"/>
        <v>0</v>
      </c>
      <c r="BC58" s="136">
        <v>0</v>
      </c>
      <c r="BD58" s="136">
        <f t="shared" si="3"/>
        <v>0</v>
      </c>
      <c r="BE58" s="136">
        <v>0</v>
      </c>
      <c r="BF58" s="136">
        <f t="shared" si="4"/>
        <v>0</v>
      </c>
      <c r="BG58" s="136">
        <v>0</v>
      </c>
      <c r="BH58" s="136">
        <f t="shared" si="5"/>
        <v>0</v>
      </c>
      <c r="BI58" s="88">
        <f t="shared" si="6"/>
        <v>0</v>
      </c>
      <c r="BJ58" s="82"/>
      <c r="BK58" s="88">
        <v>0</v>
      </c>
      <c r="BL58" s="137"/>
      <c r="BM58" s="84"/>
      <c r="BN58" s="84"/>
      <c r="BO58" s="84"/>
      <c r="BP58" s="137"/>
      <c r="BQ58" s="84"/>
      <c r="BR58" s="84"/>
      <c r="BS58" s="84"/>
      <c r="BT58" s="138"/>
    </row>
    <row r="59" spans="1:72" ht="65.25" thickTop="1" thickBot="1">
      <c r="A59" s="106"/>
      <c r="B59" s="38">
        <v>53</v>
      </c>
      <c r="C59" s="139" t="s">
        <v>278</v>
      </c>
      <c r="D59" s="38" t="s">
        <v>448</v>
      </c>
      <c r="E59" s="39" t="s">
        <v>659</v>
      </c>
      <c r="F59" s="40">
        <v>45078</v>
      </c>
      <c r="G59" s="40"/>
      <c r="H59" s="41"/>
      <c r="I59" s="42" t="s">
        <v>176</v>
      </c>
      <c r="J59" s="39" t="s">
        <v>177</v>
      </c>
      <c r="K59" s="38" t="s">
        <v>689</v>
      </c>
      <c r="L59" s="38" t="s">
        <v>663</v>
      </c>
      <c r="M59" s="43" t="s">
        <v>664</v>
      </c>
      <c r="N59" s="70" t="s">
        <v>665</v>
      </c>
      <c r="O59" s="38" t="s">
        <v>666</v>
      </c>
      <c r="P59" s="41"/>
      <c r="Q59" s="41"/>
      <c r="R59" s="38"/>
      <c r="S59" s="38"/>
      <c r="T59" s="73"/>
      <c r="U59" s="73"/>
      <c r="V59" s="73" t="s">
        <v>67</v>
      </c>
      <c r="W59" s="44" t="s">
        <v>95</v>
      </c>
      <c r="X59" s="113" t="s">
        <v>455</v>
      </c>
      <c r="Y59" s="73" t="s">
        <v>84</v>
      </c>
      <c r="Z59" s="73" t="s">
        <v>589</v>
      </c>
      <c r="AA59" s="73" t="s">
        <v>727</v>
      </c>
      <c r="AB59" s="74" t="s">
        <v>505</v>
      </c>
      <c r="AC59" s="73" t="s">
        <v>602</v>
      </c>
      <c r="AD59" s="74" t="s">
        <v>728</v>
      </c>
      <c r="AE59" s="114" t="s">
        <v>423</v>
      </c>
      <c r="AF59" s="74" t="s">
        <v>543</v>
      </c>
      <c r="AG59" s="73" t="s">
        <v>196</v>
      </c>
      <c r="AH59" s="74" t="s">
        <v>544</v>
      </c>
      <c r="AI59" s="116" t="s">
        <v>726</v>
      </c>
      <c r="AJ59" s="74" t="s">
        <v>199</v>
      </c>
      <c r="AK59" s="73" t="s">
        <v>189</v>
      </c>
      <c r="AL59" s="73" t="s">
        <v>199</v>
      </c>
      <c r="AM59" s="104"/>
      <c r="AN59" s="132"/>
      <c r="AO59" s="132">
        <v>0</v>
      </c>
      <c r="AP59" s="133">
        <f t="shared" si="17"/>
        <v>0</v>
      </c>
      <c r="AQ59" s="132">
        <v>0</v>
      </c>
      <c r="AR59" s="133">
        <f t="shared" si="0"/>
        <v>0</v>
      </c>
      <c r="AS59" s="132"/>
      <c r="AT59" s="133">
        <f t="shared" si="0"/>
        <v>0</v>
      </c>
      <c r="AU59" s="132"/>
      <c r="AV59" s="133">
        <f t="shared" si="0"/>
        <v>0</v>
      </c>
      <c r="AW59" s="132">
        <v>0</v>
      </c>
      <c r="AX59" s="133">
        <f t="shared" si="18"/>
        <v>0</v>
      </c>
      <c r="AY59" s="132">
        <v>0</v>
      </c>
      <c r="AZ59" s="133">
        <f t="shared" si="1"/>
        <v>0</v>
      </c>
      <c r="BA59" s="132">
        <v>0</v>
      </c>
      <c r="BB59" s="133">
        <f t="shared" si="2"/>
        <v>0</v>
      </c>
      <c r="BC59" s="132"/>
      <c r="BD59" s="133">
        <f t="shared" si="3"/>
        <v>0</v>
      </c>
      <c r="BE59" s="132"/>
      <c r="BF59" s="133">
        <f t="shared" si="4"/>
        <v>0</v>
      </c>
      <c r="BG59" s="132">
        <v>0</v>
      </c>
      <c r="BH59" s="133">
        <f t="shared" si="5"/>
        <v>0</v>
      </c>
      <c r="BI59" s="89">
        <f t="shared" si="6"/>
        <v>0</v>
      </c>
      <c r="BJ59" s="83"/>
      <c r="BK59" s="89">
        <v>0</v>
      </c>
      <c r="BL59" s="134"/>
      <c r="BM59" s="85"/>
      <c r="BN59" s="85"/>
      <c r="BO59" s="85"/>
      <c r="BP59" s="134"/>
      <c r="BQ59" s="85"/>
      <c r="BR59" s="85"/>
      <c r="BS59" s="85"/>
      <c r="BT59" s="135"/>
    </row>
    <row r="60" spans="1:72" ht="116.25" thickTop="1" thickBot="1">
      <c r="A60" s="106"/>
      <c r="B60" s="45">
        <v>54</v>
      </c>
      <c r="C60" s="140" t="s">
        <v>203</v>
      </c>
      <c r="D60" s="45" t="s">
        <v>729</v>
      </c>
      <c r="E60" s="46" t="s">
        <v>730</v>
      </c>
      <c r="F60" s="47">
        <v>44277</v>
      </c>
      <c r="G60" s="47">
        <v>45855</v>
      </c>
      <c r="H60" s="48" t="s">
        <v>705</v>
      </c>
      <c r="I60" s="49" t="s">
        <v>176</v>
      </c>
      <c r="J60" s="46" t="s">
        <v>177</v>
      </c>
      <c r="K60" s="45" t="s">
        <v>332</v>
      </c>
      <c r="L60" s="45" t="s">
        <v>731</v>
      </c>
      <c r="M60" s="50" t="s">
        <v>732</v>
      </c>
      <c r="N60" s="71" t="s">
        <v>733</v>
      </c>
      <c r="O60" s="72" t="s">
        <v>615</v>
      </c>
      <c r="P60" s="48"/>
      <c r="Q60" s="48"/>
      <c r="R60" s="45" t="s">
        <v>734</v>
      </c>
      <c r="S60" s="45" t="s">
        <v>734</v>
      </c>
      <c r="T60" s="45" t="s">
        <v>734</v>
      </c>
      <c r="U60" s="45"/>
      <c r="V60" s="45" t="s">
        <v>734</v>
      </c>
      <c r="W60" s="51" t="s">
        <v>89</v>
      </c>
      <c r="X60" s="110" t="s">
        <v>735</v>
      </c>
      <c r="Y60" s="72" t="s">
        <v>81</v>
      </c>
      <c r="Z60" s="72" t="s">
        <v>589</v>
      </c>
      <c r="AA60" s="72" t="s">
        <v>736</v>
      </c>
      <c r="AB60" s="111" t="s">
        <v>737</v>
      </c>
      <c r="AC60" s="72" t="s">
        <v>738</v>
      </c>
      <c r="AD60" s="111" t="s">
        <v>294</v>
      </c>
      <c r="AE60" s="103" t="s">
        <v>738</v>
      </c>
      <c r="AF60" s="111" t="s">
        <v>543</v>
      </c>
      <c r="AG60" s="72" t="s">
        <v>196</v>
      </c>
      <c r="AH60" s="111" t="s">
        <v>544</v>
      </c>
      <c r="AI60" s="115" t="s">
        <v>739</v>
      </c>
      <c r="AJ60" s="111" t="s">
        <v>199</v>
      </c>
      <c r="AK60" s="72" t="s">
        <v>189</v>
      </c>
      <c r="AL60" s="72" t="s">
        <v>199</v>
      </c>
      <c r="AM60" s="112"/>
      <c r="AN60" s="136">
        <v>3</v>
      </c>
      <c r="AO60" s="136">
        <v>0</v>
      </c>
      <c r="AP60" s="136">
        <f t="shared" si="17"/>
        <v>0</v>
      </c>
      <c r="AQ60" s="136">
        <v>0</v>
      </c>
      <c r="AR60" s="136">
        <f t="shared" si="0"/>
        <v>0</v>
      </c>
      <c r="AS60" s="136">
        <v>3</v>
      </c>
      <c r="AT60" s="136">
        <f t="shared" si="0"/>
        <v>9</v>
      </c>
      <c r="AU60" s="136">
        <v>1</v>
      </c>
      <c r="AV60" s="136">
        <f t="shared" si="0"/>
        <v>3</v>
      </c>
      <c r="AW60" s="136">
        <v>0</v>
      </c>
      <c r="AX60" s="136">
        <f t="shared" si="18"/>
        <v>0</v>
      </c>
      <c r="AY60" s="136">
        <v>0</v>
      </c>
      <c r="AZ60" s="136">
        <f t="shared" si="1"/>
        <v>0</v>
      </c>
      <c r="BA60" s="136">
        <v>0</v>
      </c>
      <c r="BB60" s="136">
        <f t="shared" si="2"/>
        <v>0</v>
      </c>
      <c r="BC60" s="136">
        <v>0</v>
      </c>
      <c r="BD60" s="136">
        <f t="shared" si="3"/>
        <v>0</v>
      </c>
      <c r="BE60" s="136">
        <v>0</v>
      </c>
      <c r="BF60" s="136">
        <f t="shared" si="4"/>
        <v>0</v>
      </c>
      <c r="BG60" s="136">
        <v>0</v>
      </c>
      <c r="BH60" s="136">
        <f t="shared" si="5"/>
        <v>0</v>
      </c>
      <c r="BI60" s="88">
        <f t="shared" si="6"/>
        <v>12</v>
      </c>
      <c r="BJ60" s="82" t="s">
        <v>201</v>
      </c>
      <c r="BK60" s="88">
        <v>2</v>
      </c>
      <c r="BL60" s="137"/>
      <c r="BM60" s="84"/>
      <c r="BN60" s="84"/>
      <c r="BO60" s="84" t="s">
        <v>202</v>
      </c>
      <c r="BP60" s="137"/>
      <c r="BQ60" s="84"/>
      <c r="BR60" s="84" t="s">
        <v>202</v>
      </c>
      <c r="BS60" s="84"/>
      <c r="BT60" s="138"/>
    </row>
    <row r="61" spans="1:72" ht="116.25" thickTop="1" thickBot="1">
      <c r="A61" s="106"/>
      <c r="B61" s="38">
        <v>55</v>
      </c>
      <c r="C61" s="139" t="s">
        <v>217</v>
      </c>
      <c r="D61" s="38" t="s">
        <v>729</v>
      </c>
      <c r="E61" s="39" t="s">
        <v>730</v>
      </c>
      <c r="F61" s="40">
        <v>44277</v>
      </c>
      <c r="G61" s="40" t="s">
        <v>418</v>
      </c>
      <c r="H61" s="41" t="s">
        <v>740</v>
      </c>
      <c r="I61" s="42" t="s">
        <v>176</v>
      </c>
      <c r="J61" s="39" t="s">
        <v>177</v>
      </c>
      <c r="K61" s="38" t="s">
        <v>332</v>
      </c>
      <c r="L61" s="38" t="s">
        <v>731</v>
      </c>
      <c r="M61" s="43" t="s">
        <v>732</v>
      </c>
      <c r="N61" s="70" t="s">
        <v>733</v>
      </c>
      <c r="O61" s="38" t="s">
        <v>615</v>
      </c>
      <c r="P61" s="41"/>
      <c r="Q61" s="41"/>
      <c r="R61" s="38" t="s">
        <v>734</v>
      </c>
      <c r="S61" s="38" t="s">
        <v>734</v>
      </c>
      <c r="T61" s="73" t="s">
        <v>734</v>
      </c>
      <c r="U61" s="73"/>
      <c r="V61" s="73" t="s">
        <v>734</v>
      </c>
      <c r="W61" s="44" t="s">
        <v>89</v>
      </c>
      <c r="X61" s="113" t="s">
        <v>735</v>
      </c>
      <c r="Y61" s="73" t="s">
        <v>81</v>
      </c>
      <c r="Z61" s="73" t="s">
        <v>589</v>
      </c>
      <c r="AA61" s="73" t="s">
        <v>741</v>
      </c>
      <c r="AB61" s="74" t="s">
        <v>742</v>
      </c>
      <c r="AC61" s="73" t="s">
        <v>743</v>
      </c>
      <c r="AD61" s="74" t="s">
        <v>193</v>
      </c>
      <c r="AE61" s="114" t="s">
        <v>744</v>
      </c>
      <c r="AF61" s="74" t="s">
        <v>189</v>
      </c>
      <c r="AG61" s="73" t="s">
        <v>196</v>
      </c>
      <c r="AH61" s="74" t="s">
        <v>605</v>
      </c>
      <c r="AI61" s="116" t="s">
        <v>745</v>
      </c>
      <c r="AJ61" s="74" t="s">
        <v>199</v>
      </c>
      <c r="AK61" s="73" t="s">
        <v>189</v>
      </c>
      <c r="AL61" s="73" t="s">
        <v>199</v>
      </c>
      <c r="AM61" s="104" t="s">
        <v>746</v>
      </c>
      <c r="AN61" s="132">
        <v>3</v>
      </c>
      <c r="AO61" s="132">
        <v>0</v>
      </c>
      <c r="AP61" s="133">
        <f t="shared" si="17"/>
        <v>0</v>
      </c>
      <c r="AQ61" s="132">
        <v>0</v>
      </c>
      <c r="AR61" s="133">
        <f t="shared" si="0"/>
        <v>0</v>
      </c>
      <c r="AS61" s="132">
        <v>3</v>
      </c>
      <c r="AT61" s="133">
        <f t="shared" si="0"/>
        <v>9</v>
      </c>
      <c r="AU61" s="132">
        <v>0</v>
      </c>
      <c r="AV61" s="133">
        <f t="shared" si="0"/>
        <v>0</v>
      </c>
      <c r="AW61" s="132">
        <v>0</v>
      </c>
      <c r="AX61" s="133">
        <f t="shared" si="18"/>
        <v>0</v>
      </c>
      <c r="AY61" s="132">
        <v>0</v>
      </c>
      <c r="AZ61" s="133">
        <f t="shared" si="1"/>
        <v>0</v>
      </c>
      <c r="BA61" s="132">
        <v>0</v>
      </c>
      <c r="BB61" s="133">
        <f t="shared" si="2"/>
        <v>0</v>
      </c>
      <c r="BC61" s="132">
        <v>1</v>
      </c>
      <c r="BD61" s="133">
        <f t="shared" si="3"/>
        <v>3</v>
      </c>
      <c r="BE61" s="132">
        <v>0</v>
      </c>
      <c r="BF61" s="133">
        <f t="shared" si="4"/>
        <v>0</v>
      </c>
      <c r="BG61" s="132">
        <v>0</v>
      </c>
      <c r="BH61" s="133">
        <f t="shared" si="5"/>
        <v>0</v>
      </c>
      <c r="BI61" s="89">
        <f t="shared" si="6"/>
        <v>12</v>
      </c>
      <c r="BJ61" s="83"/>
      <c r="BK61" s="89">
        <v>2</v>
      </c>
      <c r="BL61" s="134"/>
      <c r="BM61" s="85"/>
      <c r="BN61" s="85"/>
      <c r="BO61" s="85" t="s">
        <v>202</v>
      </c>
      <c r="BP61" s="134"/>
      <c r="BQ61" s="85"/>
      <c r="BR61" s="85" t="s">
        <v>202</v>
      </c>
      <c r="BS61" s="85"/>
      <c r="BT61" s="135"/>
    </row>
    <row r="62" spans="1:72" ht="116.25" thickTop="1" thickBot="1">
      <c r="A62" s="106"/>
      <c r="B62" s="45">
        <v>56</v>
      </c>
      <c r="C62" s="140" t="s">
        <v>221</v>
      </c>
      <c r="D62" s="45" t="s">
        <v>729</v>
      </c>
      <c r="E62" s="46" t="s">
        <v>730</v>
      </c>
      <c r="F62" s="47">
        <v>45090</v>
      </c>
      <c r="G62" s="47" t="s">
        <v>288</v>
      </c>
      <c r="H62" s="48" t="s">
        <v>747</v>
      </c>
      <c r="I62" s="49" t="s">
        <v>176</v>
      </c>
      <c r="J62" s="46" t="s">
        <v>177</v>
      </c>
      <c r="K62" s="45" t="s">
        <v>332</v>
      </c>
      <c r="L62" s="45" t="s">
        <v>731</v>
      </c>
      <c r="M62" s="50" t="s">
        <v>732</v>
      </c>
      <c r="N62" s="71" t="s">
        <v>733</v>
      </c>
      <c r="O62" s="72" t="s">
        <v>615</v>
      </c>
      <c r="P62" s="48"/>
      <c r="Q62" s="48"/>
      <c r="R62" s="45" t="s">
        <v>734</v>
      </c>
      <c r="S62" s="45" t="s">
        <v>734</v>
      </c>
      <c r="T62" s="45" t="s">
        <v>734</v>
      </c>
      <c r="U62" s="45"/>
      <c r="V62" s="45" t="s">
        <v>734</v>
      </c>
      <c r="W62" s="51" t="s">
        <v>89</v>
      </c>
      <c r="X62" s="110" t="s">
        <v>735</v>
      </c>
      <c r="Y62" s="72" t="s">
        <v>81</v>
      </c>
      <c r="Z62" s="72" t="s">
        <v>589</v>
      </c>
      <c r="AA62" s="72" t="s">
        <v>199</v>
      </c>
      <c r="AB62" s="111" t="s">
        <v>199</v>
      </c>
      <c r="AC62" s="72" t="s">
        <v>738</v>
      </c>
      <c r="AD62" s="111" t="s">
        <v>694</v>
      </c>
      <c r="AE62" s="103" t="s">
        <v>738</v>
      </c>
      <c r="AF62" s="111" t="s">
        <v>738</v>
      </c>
      <c r="AG62" s="72" t="s">
        <v>196</v>
      </c>
      <c r="AH62" s="111" t="s">
        <v>738</v>
      </c>
      <c r="AI62" s="115" t="s">
        <v>739</v>
      </c>
      <c r="AJ62" s="111" t="s">
        <v>199</v>
      </c>
      <c r="AK62" s="72" t="s">
        <v>189</v>
      </c>
      <c r="AL62" s="72" t="s">
        <v>199</v>
      </c>
      <c r="AM62" s="112"/>
      <c r="AN62" s="136">
        <v>3</v>
      </c>
      <c r="AO62" s="136">
        <v>0</v>
      </c>
      <c r="AP62" s="136">
        <f t="shared" si="17"/>
        <v>0</v>
      </c>
      <c r="AQ62" s="136">
        <v>0</v>
      </c>
      <c r="AR62" s="136">
        <f t="shared" si="0"/>
        <v>0</v>
      </c>
      <c r="AS62" s="136">
        <v>0</v>
      </c>
      <c r="AT62" s="136">
        <f t="shared" si="0"/>
        <v>0</v>
      </c>
      <c r="AU62" s="136">
        <v>0</v>
      </c>
      <c r="AV62" s="136">
        <f t="shared" si="0"/>
        <v>0</v>
      </c>
      <c r="AW62" s="136">
        <v>0</v>
      </c>
      <c r="AX62" s="136">
        <f t="shared" si="18"/>
        <v>0</v>
      </c>
      <c r="AY62" s="136">
        <v>0</v>
      </c>
      <c r="AZ62" s="136">
        <f t="shared" si="1"/>
        <v>0</v>
      </c>
      <c r="BA62" s="136">
        <v>0</v>
      </c>
      <c r="BB62" s="136">
        <f t="shared" si="2"/>
        <v>0</v>
      </c>
      <c r="BC62" s="136">
        <v>1</v>
      </c>
      <c r="BD62" s="136">
        <f t="shared" si="3"/>
        <v>3</v>
      </c>
      <c r="BE62" s="136">
        <v>0</v>
      </c>
      <c r="BF62" s="136">
        <f t="shared" si="4"/>
        <v>0</v>
      </c>
      <c r="BG62" s="136">
        <v>0</v>
      </c>
      <c r="BH62" s="136">
        <f t="shared" si="5"/>
        <v>0</v>
      </c>
      <c r="BI62" s="88">
        <f t="shared" si="6"/>
        <v>3</v>
      </c>
      <c r="BJ62" s="82"/>
      <c r="BK62" s="88">
        <v>2</v>
      </c>
      <c r="BL62" s="137"/>
      <c r="BM62" s="84"/>
      <c r="BN62" s="84"/>
      <c r="BO62" s="84" t="s">
        <v>202</v>
      </c>
      <c r="BP62" s="137"/>
      <c r="BQ62" s="84"/>
      <c r="BR62" s="84" t="s">
        <v>202</v>
      </c>
      <c r="BS62" s="84"/>
      <c r="BT62" s="138"/>
    </row>
    <row r="63" spans="1:72" ht="116.25" thickTop="1" thickBot="1">
      <c r="A63" s="106"/>
      <c r="B63" s="38">
        <v>57</v>
      </c>
      <c r="C63" s="139" t="s">
        <v>296</v>
      </c>
      <c r="D63" s="38" t="s">
        <v>729</v>
      </c>
      <c r="E63" s="39" t="s">
        <v>730</v>
      </c>
      <c r="F63" s="40">
        <v>45077</v>
      </c>
      <c r="G63" s="40">
        <v>45853</v>
      </c>
      <c r="H63" s="41" t="s">
        <v>748</v>
      </c>
      <c r="I63" s="42" t="s">
        <v>176</v>
      </c>
      <c r="J63" s="39" t="s">
        <v>177</v>
      </c>
      <c r="K63" s="38" t="s">
        <v>332</v>
      </c>
      <c r="L63" s="38" t="s">
        <v>731</v>
      </c>
      <c r="M63" s="43" t="s">
        <v>732</v>
      </c>
      <c r="N63" s="70" t="s">
        <v>733</v>
      </c>
      <c r="O63" s="38" t="s">
        <v>615</v>
      </c>
      <c r="P63" s="41"/>
      <c r="Q63" s="41"/>
      <c r="R63" s="38" t="s">
        <v>734</v>
      </c>
      <c r="S63" s="38" t="s">
        <v>734</v>
      </c>
      <c r="T63" s="73" t="s">
        <v>734</v>
      </c>
      <c r="U63" s="73"/>
      <c r="V63" s="73" t="s">
        <v>734</v>
      </c>
      <c r="W63" s="44" t="s">
        <v>89</v>
      </c>
      <c r="X63" s="113" t="s">
        <v>735</v>
      </c>
      <c r="Y63" s="73" t="s">
        <v>81</v>
      </c>
      <c r="Z63" s="73" t="s">
        <v>589</v>
      </c>
      <c r="AA63" s="73" t="s">
        <v>199</v>
      </c>
      <c r="AB63" s="74" t="s">
        <v>199</v>
      </c>
      <c r="AC63" s="73" t="s">
        <v>749</v>
      </c>
      <c r="AD63" s="74" t="s">
        <v>694</v>
      </c>
      <c r="AE63" s="114" t="s">
        <v>750</v>
      </c>
      <c r="AF63" s="74" t="s">
        <v>226</v>
      </c>
      <c r="AG63" s="73" t="s">
        <v>196</v>
      </c>
      <c r="AH63" s="74" t="s">
        <v>226</v>
      </c>
      <c r="AI63" s="116" t="s">
        <v>751</v>
      </c>
      <c r="AJ63" s="74" t="s">
        <v>199</v>
      </c>
      <c r="AK63" s="73" t="s">
        <v>189</v>
      </c>
      <c r="AL63" s="73" t="s">
        <v>199</v>
      </c>
      <c r="AM63" s="104" t="s">
        <v>752</v>
      </c>
      <c r="AN63" s="132">
        <v>3</v>
      </c>
      <c r="AO63" s="132">
        <v>0</v>
      </c>
      <c r="AP63" s="133">
        <f t="shared" si="17"/>
        <v>0</v>
      </c>
      <c r="AQ63" s="132">
        <v>0</v>
      </c>
      <c r="AR63" s="133">
        <f t="shared" si="0"/>
        <v>0</v>
      </c>
      <c r="AS63" s="132">
        <v>0</v>
      </c>
      <c r="AT63" s="133">
        <f t="shared" si="0"/>
        <v>0</v>
      </c>
      <c r="AU63" s="132">
        <v>0</v>
      </c>
      <c r="AV63" s="133">
        <f t="shared" si="0"/>
        <v>0</v>
      </c>
      <c r="AW63" s="132">
        <v>0</v>
      </c>
      <c r="AX63" s="133">
        <f t="shared" si="18"/>
        <v>0</v>
      </c>
      <c r="AY63" s="132">
        <v>0</v>
      </c>
      <c r="AZ63" s="133">
        <f t="shared" si="1"/>
        <v>0</v>
      </c>
      <c r="BA63" s="132">
        <v>0</v>
      </c>
      <c r="BB63" s="133">
        <f t="shared" si="2"/>
        <v>0</v>
      </c>
      <c r="BC63" s="132">
        <v>0</v>
      </c>
      <c r="BD63" s="133">
        <f t="shared" si="3"/>
        <v>0</v>
      </c>
      <c r="BE63" s="132">
        <v>0</v>
      </c>
      <c r="BF63" s="133">
        <f t="shared" si="4"/>
        <v>0</v>
      </c>
      <c r="BG63" s="132">
        <v>0</v>
      </c>
      <c r="BH63" s="133">
        <f t="shared" si="5"/>
        <v>0</v>
      </c>
      <c r="BI63" s="89">
        <f t="shared" si="6"/>
        <v>0</v>
      </c>
      <c r="BJ63" s="83"/>
      <c r="BK63" s="89">
        <v>2</v>
      </c>
      <c r="BL63" s="134"/>
      <c r="BM63" s="85"/>
      <c r="BN63" s="85"/>
      <c r="BO63" s="85" t="s">
        <v>202</v>
      </c>
      <c r="BP63" s="134"/>
      <c r="BQ63" s="85"/>
      <c r="BR63" s="85" t="s">
        <v>202</v>
      </c>
      <c r="BS63" s="85"/>
      <c r="BT63" s="135"/>
    </row>
    <row r="64" spans="1:72" ht="116.25" thickTop="1" thickBot="1">
      <c r="A64" s="106"/>
      <c r="B64" s="45">
        <v>58</v>
      </c>
      <c r="C64" s="140" t="s">
        <v>258</v>
      </c>
      <c r="D64" s="45" t="s">
        <v>729</v>
      </c>
      <c r="E64" s="46" t="s">
        <v>730</v>
      </c>
      <c r="F64" s="47">
        <v>44277</v>
      </c>
      <c r="G64" s="47" t="s">
        <v>611</v>
      </c>
      <c r="H64" s="48" t="s">
        <v>612</v>
      </c>
      <c r="I64" s="49" t="s">
        <v>176</v>
      </c>
      <c r="J64" s="46" t="s">
        <v>177</v>
      </c>
      <c r="K64" s="45" t="s">
        <v>753</v>
      </c>
      <c r="L64" s="45" t="s">
        <v>731</v>
      </c>
      <c r="M64" s="50" t="s">
        <v>732</v>
      </c>
      <c r="N64" s="71" t="s">
        <v>733</v>
      </c>
      <c r="O64" s="72" t="s">
        <v>615</v>
      </c>
      <c r="P64" s="48"/>
      <c r="Q64" s="48"/>
      <c r="R64" s="45" t="s">
        <v>734</v>
      </c>
      <c r="S64" s="45" t="s">
        <v>734</v>
      </c>
      <c r="T64" s="45" t="s">
        <v>734</v>
      </c>
      <c r="U64" s="45"/>
      <c r="V64" s="45" t="s">
        <v>734</v>
      </c>
      <c r="W64" s="51" t="s">
        <v>89</v>
      </c>
      <c r="X64" s="110" t="s">
        <v>735</v>
      </c>
      <c r="Y64" s="72" t="s">
        <v>81</v>
      </c>
      <c r="Z64" s="72" t="s">
        <v>589</v>
      </c>
      <c r="AA64" s="72" t="s">
        <v>754</v>
      </c>
      <c r="AB64" s="111" t="s">
        <v>755</v>
      </c>
      <c r="AC64" s="72" t="s">
        <v>756</v>
      </c>
      <c r="AD64" s="111" t="s">
        <v>694</v>
      </c>
      <c r="AE64" s="103" t="s">
        <v>271</v>
      </c>
      <c r="AF64" s="111" t="s">
        <v>604</v>
      </c>
      <c r="AG64" s="72" t="s">
        <v>196</v>
      </c>
      <c r="AH64" s="111" t="s">
        <v>605</v>
      </c>
      <c r="AI64" s="115" t="s">
        <v>739</v>
      </c>
      <c r="AJ64" s="111" t="s">
        <v>199</v>
      </c>
      <c r="AK64" s="72" t="s">
        <v>189</v>
      </c>
      <c r="AL64" s="72" t="s">
        <v>199</v>
      </c>
      <c r="AM64" s="112" t="s">
        <v>757</v>
      </c>
      <c r="AN64" s="136">
        <v>3</v>
      </c>
      <c r="AO64" s="136">
        <v>0</v>
      </c>
      <c r="AP64" s="136">
        <f t="shared" si="17"/>
        <v>0</v>
      </c>
      <c r="AQ64" s="136">
        <v>0</v>
      </c>
      <c r="AR64" s="136">
        <f t="shared" si="0"/>
        <v>0</v>
      </c>
      <c r="AS64" s="136">
        <v>3</v>
      </c>
      <c r="AT64" s="136">
        <f t="shared" si="0"/>
        <v>9</v>
      </c>
      <c r="AU64" s="136">
        <v>3</v>
      </c>
      <c r="AV64" s="136">
        <f t="shared" si="0"/>
        <v>9</v>
      </c>
      <c r="AW64" s="136">
        <v>0</v>
      </c>
      <c r="AX64" s="136">
        <f t="shared" si="18"/>
        <v>0</v>
      </c>
      <c r="AY64" s="136">
        <v>0</v>
      </c>
      <c r="AZ64" s="136">
        <f t="shared" si="1"/>
        <v>0</v>
      </c>
      <c r="BA64" s="136">
        <v>0</v>
      </c>
      <c r="BB64" s="136">
        <f t="shared" si="2"/>
        <v>0</v>
      </c>
      <c r="BC64" s="136">
        <v>1</v>
      </c>
      <c r="BD64" s="136">
        <f t="shared" si="3"/>
        <v>3</v>
      </c>
      <c r="BE64" s="136">
        <v>0</v>
      </c>
      <c r="BF64" s="136">
        <f t="shared" si="4"/>
        <v>0</v>
      </c>
      <c r="BG64" s="136">
        <v>0</v>
      </c>
      <c r="BH64" s="136">
        <f t="shared" si="5"/>
        <v>0</v>
      </c>
      <c r="BI64" s="88">
        <f t="shared" si="6"/>
        <v>21</v>
      </c>
      <c r="BJ64" s="82"/>
      <c r="BK64" s="88">
        <v>2</v>
      </c>
      <c r="BL64" s="137"/>
      <c r="BM64" s="84"/>
      <c r="BN64" s="84"/>
      <c r="BO64" s="84" t="s">
        <v>202</v>
      </c>
      <c r="BP64" s="137"/>
      <c r="BQ64" s="84"/>
      <c r="BR64" s="84" t="s">
        <v>202</v>
      </c>
      <c r="BS64" s="84"/>
      <c r="BT64" s="138"/>
    </row>
    <row r="65" spans="1:72" ht="116.25" thickTop="1" thickBot="1">
      <c r="A65" s="106"/>
      <c r="B65" s="38">
        <v>59</v>
      </c>
      <c r="C65" s="139" t="s">
        <v>278</v>
      </c>
      <c r="D65" s="38" t="s">
        <v>729</v>
      </c>
      <c r="E65" s="39" t="s">
        <v>730</v>
      </c>
      <c r="F65" s="40">
        <v>45078</v>
      </c>
      <c r="G65" s="40">
        <v>45645</v>
      </c>
      <c r="H65" s="41" t="s">
        <v>324</v>
      </c>
      <c r="I65" s="42" t="s">
        <v>176</v>
      </c>
      <c r="J65" s="39" t="s">
        <v>177</v>
      </c>
      <c r="K65" s="38" t="s">
        <v>332</v>
      </c>
      <c r="L65" s="38" t="s">
        <v>731</v>
      </c>
      <c r="M65" s="43" t="s">
        <v>732</v>
      </c>
      <c r="N65" s="70" t="s">
        <v>733</v>
      </c>
      <c r="O65" s="38" t="s">
        <v>615</v>
      </c>
      <c r="P65" s="41"/>
      <c r="Q65" s="41"/>
      <c r="R65" s="38" t="s">
        <v>734</v>
      </c>
      <c r="S65" s="38" t="s">
        <v>734</v>
      </c>
      <c r="T65" s="73" t="s">
        <v>734</v>
      </c>
      <c r="U65" s="73"/>
      <c r="V65" s="73" t="s">
        <v>734</v>
      </c>
      <c r="W65" s="44" t="s">
        <v>89</v>
      </c>
      <c r="X65" s="113" t="s">
        <v>735</v>
      </c>
      <c r="Y65" s="73" t="s">
        <v>81</v>
      </c>
      <c r="Z65" s="73" t="s">
        <v>589</v>
      </c>
      <c r="AA65" s="73" t="s">
        <v>674</v>
      </c>
      <c r="AB65" s="74" t="s">
        <v>505</v>
      </c>
      <c r="AC65" s="73" t="s">
        <v>602</v>
      </c>
      <c r="AD65" s="74" t="s">
        <v>758</v>
      </c>
      <c r="AE65" s="114" t="s">
        <v>423</v>
      </c>
      <c r="AF65" s="74" t="s">
        <v>543</v>
      </c>
      <c r="AG65" s="73" t="s">
        <v>196</v>
      </c>
      <c r="AH65" s="74" t="s">
        <v>544</v>
      </c>
      <c r="AI65" s="116" t="s">
        <v>759</v>
      </c>
      <c r="AJ65" s="74" t="s">
        <v>760</v>
      </c>
      <c r="AK65" s="73" t="s">
        <v>189</v>
      </c>
      <c r="AL65" s="73" t="s">
        <v>199</v>
      </c>
      <c r="AM65" s="104" t="s">
        <v>761</v>
      </c>
      <c r="AN65" s="132">
        <v>3</v>
      </c>
      <c r="AO65" s="132">
        <v>0</v>
      </c>
      <c r="AP65" s="133">
        <f t="shared" si="17"/>
        <v>0</v>
      </c>
      <c r="AQ65" s="132">
        <v>0</v>
      </c>
      <c r="AR65" s="133">
        <f t="shared" si="0"/>
        <v>0</v>
      </c>
      <c r="AS65" s="132">
        <v>2</v>
      </c>
      <c r="AT65" s="133">
        <f t="shared" si="0"/>
        <v>6</v>
      </c>
      <c r="AU65" s="132">
        <v>0</v>
      </c>
      <c r="AV65" s="133">
        <f t="shared" si="0"/>
        <v>0</v>
      </c>
      <c r="AW65" s="132">
        <v>0</v>
      </c>
      <c r="AX65" s="133">
        <f t="shared" si="18"/>
        <v>0</v>
      </c>
      <c r="AY65" s="132">
        <v>0</v>
      </c>
      <c r="AZ65" s="133">
        <f t="shared" si="1"/>
        <v>0</v>
      </c>
      <c r="BA65" s="132">
        <v>0</v>
      </c>
      <c r="BB65" s="133">
        <f t="shared" si="2"/>
        <v>0</v>
      </c>
      <c r="BC65" s="132">
        <v>1</v>
      </c>
      <c r="BD65" s="133">
        <f t="shared" si="3"/>
        <v>3</v>
      </c>
      <c r="BE65" s="132">
        <v>0</v>
      </c>
      <c r="BF65" s="133">
        <f t="shared" si="4"/>
        <v>0</v>
      </c>
      <c r="BG65" s="132">
        <v>0</v>
      </c>
      <c r="BH65" s="133">
        <f t="shared" si="5"/>
        <v>0</v>
      </c>
      <c r="BI65" s="89">
        <f t="shared" si="6"/>
        <v>9</v>
      </c>
      <c r="BJ65" s="83"/>
      <c r="BK65" s="89">
        <v>2</v>
      </c>
      <c r="BL65" s="134"/>
      <c r="BM65" s="85"/>
      <c r="BN65" s="85"/>
      <c r="BO65" s="85" t="s">
        <v>202</v>
      </c>
      <c r="BP65" s="134"/>
      <c r="BQ65" s="85"/>
      <c r="BR65" s="85" t="s">
        <v>202</v>
      </c>
      <c r="BS65" s="85"/>
      <c r="BT65" s="135"/>
    </row>
    <row r="66" spans="1:72" ht="116.25" thickTop="1" thickBot="1">
      <c r="A66" s="106"/>
      <c r="B66" s="45">
        <v>60</v>
      </c>
      <c r="C66" s="140" t="s">
        <v>762</v>
      </c>
      <c r="D66" s="45" t="s">
        <v>729</v>
      </c>
      <c r="E66" s="46" t="s">
        <v>730</v>
      </c>
      <c r="F66" s="47">
        <v>44277</v>
      </c>
      <c r="G66" s="47" t="s">
        <v>763</v>
      </c>
      <c r="H66" s="48" t="s">
        <v>764</v>
      </c>
      <c r="I66" s="49" t="s">
        <v>176</v>
      </c>
      <c r="J66" s="46" t="s">
        <v>177</v>
      </c>
      <c r="K66" s="45" t="s">
        <v>765</v>
      </c>
      <c r="L66" s="45" t="s">
        <v>731</v>
      </c>
      <c r="M66" s="50" t="s">
        <v>732</v>
      </c>
      <c r="N66" s="71" t="s">
        <v>733</v>
      </c>
      <c r="O66" s="72" t="s">
        <v>615</v>
      </c>
      <c r="P66" s="48"/>
      <c r="Q66" s="48"/>
      <c r="R66" s="45" t="s">
        <v>734</v>
      </c>
      <c r="S66" s="45" t="s">
        <v>734</v>
      </c>
      <c r="T66" s="45" t="s">
        <v>734</v>
      </c>
      <c r="U66" s="45"/>
      <c r="V66" s="45" t="s">
        <v>734</v>
      </c>
      <c r="W66" s="51" t="s">
        <v>89</v>
      </c>
      <c r="X66" s="110" t="s">
        <v>735</v>
      </c>
      <c r="Y66" s="72" t="s">
        <v>81</v>
      </c>
      <c r="Z66" s="72" t="s">
        <v>589</v>
      </c>
      <c r="AA66" s="72" t="s">
        <v>199</v>
      </c>
      <c r="AB66" s="111" t="s">
        <v>199</v>
      </c>
      <c r="AC66" s="72" t="s">
        <v>738</v>
      </c>
      <c r="AD66" s="111" t="s">
        <v>766</v>
      </c>
      <c r="AE66" s="103" t="s">
        <v>423</v>
      </c>
      <c r="AF66" s="111" t="s">
        <v>543</v>
      </c>
      <c r="AG66" s="72" t="s">
        <v>196</v>
      </c>
      <c r="AH66" s="111" t="s">
        <v>544</v>
      </c>
      <c r="AI66" s="115" t="s">
        <v>745</v>
      </c>
      <c r="AJ66" s="111" t="s">
        <v>199</v>
      </c>
      <c r="AK66" s="72" t="s">
        <v>189</v>
      </c>
      <c r="AL66" s="72" t="s">
        <v>199</v>
      </c>
      <c r="AM66" s="112" t="s">
        <v>767</v>
      </c>
      <c r="AN66" s="136">
        <v>3</v>
      </c>
      <c r="AO66" s="136">
        <v>0</v>
      </c>
      <c r="AP66" s="136">
        <f t="shared" si="17"/>
        <v>0</v>
      </c>
      <c r="AQ66" s="136">
        <v>0</v>
      </c>
      <c r="AR66" s="136">
        <f t="shared" si="0"/>
        <v>0</v>
      </c>
      <c r="AS66" s="136">
        <v>2</v>
      </c>
      <c r="AT66" s="136">
        <f t="shared" si="0"/>
        <v>6</v>
      </c>
      <c r="AU66" s="136">
        <v>0</v>
      </c>
      <c r="AV66" s="136">
        <f t="shared" si="0"/>
        <v>0</v>
      </c>
      <c r="AW66" s="136">
        <v>0</v>
      </c>
      <c r="AX66" s="136">
        <f t="shared" si="18"/>
        <v>0</v>
      </c>
      <c r="AY66" s="136">
        <v>0</v>
      </c>
      <c r="AZ66" s="136">
        <f t="shared" si="1"/>
        <v>0</v>
      </c>
      <c r="BA66" s="136">
        <v>0</v>
      </c>
      <c r="BB66" s="136">
        <f t="shared" si="2"/>
        <v>0</v>
      </c>
      <c r="BC66" s="136">
        <v>1</v>
      </c>
      <c r="BD66" s="136">
        <f t="shared" si="3"/>
        <v>3</v>
      </c>
      <c r="BE66" s="136">
        <v>0</v>
      </c>
      <c r="BF66" s="136">
        <f t="shared" si="4"/>
        <v>0</v>
      </c>
      <c r="BG66" s="136">
        <v>0</v>
      </c>
      <c r="BH66" s="136">
        <f t="shared" si="5"/>
        <v>0</v>
      </c>
      <c r="BI66" s="88">
        <f t="shared" si="6"/>
        <v>9</v>
      </c>
      <c r="BJ66" s="82"/>
      <c r="BK66" s="88">
        <v>2</v>
      </c>
      <c r="BL66" s="137"/>
      <c r="BM66" s="84"/>
      <c r="BN66" s="84"/>
      <c r="BO66" s="84" t="s">
        <v>202</v>
      </c>
      <c r="BP66" s="137"/>
      <c r="BQ66" s="84"/>
      <c r="BR66" s="84" t="s">
        <v>202</v>
      </c>
      <c r="BS66" s="84"/>
      <c r="BT66" s="138"/>
    </row>
    <row r="67" spans="1:72" ht="116.25" thickTop="1" thickBot="1">
      <c r="A67" s="106"/>
      <c r="B67" s="38">
        <v>61</v>
      </c>
      <c r="C67" s="139" t="s">
        <v>306</v>
      </c>
      <c r="D67" s="38" t="s">
        <v>729</v>
      </c>
      <c r="E67" s="39" t="s">
        <v>730</v>
      </c>
      <c r="F67" s="40">
        <v>45561</v>
      </c>
      <c r="G67" s="40">
        <v>45561</v>
      </c>
      <c r="H67" s="41" t="s">
        <v>768</v>
      </c>
      <c r="I67" s="42" t="s">
        <v>176</v>
      </c>
      <c r="J67" s="39" t="s">
        <v>177</v>
      </c>
      <c r="K67" s="38" t="s">
        <v>765</v>
      </c>
      <c r="L67" s="38" t="s">
        <v>731</v>
      </c>
      <c r="M67" s="43" t="s">
        <v>732</v>
      </c>
      <c r="N67" s="70" t="s">
        <v>733</v>
      </c>
      <c r="O67" s="38" t="s">
        <v>615</v>
      </c>
      <c r="P67" s="41"/>
      <c r="Q67" s="41"/>
      <c r="R67" s="38" t="s">
        <v>734</v>
      </c>
      <c r="S67" s="38" t="s">
        <v>734</v>
      </c>
      <c r="T67" s="73" t="s">
        <v>734</v>
      </c>
      <c r="U67" s="73"/>
      <c r="V67" s="73" t="s">
        <v>734</v>
      </c>
      <c r="W67" s="44" t="s">
        <v>89</v>
      </c>
      <c r="X67" s="113" t="s">
        <v>735</v>
      </c>
      <c r="Y67" s="73" t="s">
        <v>81</v>
      </c>
      <c r="Z67" s="73" t="s">
        <v>589</v>
      </c>
      <c r="AA67" s="73" t="s">
        <v>769</v>
      </c>
      <c r="AB67" s="74" t="s">
        <v>770</v>
      </c>
      <c r="AC67" s="73" t="s">
        <v>199</v>
      </c>
      <c r="AD67" s="74" t="s">
        <v>199</v>
      </c>
      <c r="AE67" s="114" t="s">
        <v>199</v>
      </c>
      <c r="AF67" s="74" t="s">
        <v>543</v>
      </c>
      <c r="AG67" s="73" t="s">
        <v>196</v>
      </c>
      <c r="AH67" s="74" t="s">
        <v>544</v>
      </c>
      <c r="AI67" s="116" t="s">
        <v>745</v>
      </c>
      <c r="AJ67" s="74" t="s">
        <v>199</v>
      </c>
      <c r="AK67" s="73" t="s">
        <v>189</v>
      </c>
      <c r="AL67" s="73" t="s">
        <v>199</v>
      </c>
      <c r="AM67" s="104" t="s">
        <v>771</v>
      </c>
      <c r="AN67" s="132">
        <v>3</v>
      </c>
      <c r="AO67" s="132">
        <v>0</v>
      </c>
      <c r="AP67" s="133">
        <f t="shared" si="17"/>
        <v>0</v>
      </c>
      <c r="AQ67" s="132">
        <v>0</v>
      </c>
      <c r="AR67" s="133">
        <f t="shared" si="0"/>
        <v>0</v>
      </c>
      <c r="AS67" s="132">
        <v>2</v>
      </c>
      <c r="AT67" s="133">
        <f t="shared" si="0"/>
        <v>6</v>
      </c>
      <c r="AU67" s="132">
        <v>0</v>
      </c>
      <c r="AV67" s="133">
        <f t="shared" si="0"/>
        <v>0</v>
      </c>
      <c r="AW67" s="132">
        <v>0</v>
      </c>
      <c r="AX67" s="133">
        <f t="shared" si="18"/>
        <v>0</v>
      </c>
      <c r="AY67" s="132">
        <v>0</v>
      </c>
      <c r="AZ67" s="133">
        <f t="shared" si="1"/>
        <v>0</v>
      </c>
      <c r="BA67" s="132">
        <v>0</v>
      </c>
      <c r="BB67" s="133">
        <f t="shared" si="2"/>
        <v>0</v>
      </c>
      <c r="BC67" s="132">
        <v>1</v>
      </c>
      <c r="BD67" s="133">
        <f t="shared" si="3"/>
        <v>3</v>
      </c>
      <c r="BE67" s="132">
        <v>0</v>
      </c>
      <c r="BF67" s="133">
        <f t="shared" si="4"/>
        <v>0</v>
      </c>
      <c r="BG67" s="132">
        <v>0</v>
      </c>
      <c r="BH67" s="133">
        <f t="shared" si="5"/>
        <v>0</v>
      </c>
      <c r="BI67" s="89">
        <f t="shared" si="6"/>
        <v>9</v>
      </c>
      <c r="BJ67" s="83"/>
      <c r="BK67" s="89">
        <v>2</v>
      </c>
      <c r="BL67" s="134"/>
      <c r="BM67" s="85"/>
      <c r="BN67" s="85"/>
      <c r="BO67" s="85" t="s">
        <v>202</v>
      </c>
      <c r="BP67" s="134"/>
      <c r="BQ67" s="85"/>
      <c r="BR67" s="85" t="s">
        <v>202</v>
      </c>
      <c r="BS67" s="85"/>
      <c r="BT67" s="135"/>
    </row>
    <row r="68" spans="1:72" ht="78" thickTop="1" thickBot="1">
      <c r="A68" s="106"/>
      <c r="B68" s="45">
        <v>62</v>
      </c>
      <c r="C68" s="140" t="s">
        <v>427</v>
      </c>
      <c r="D68" s="45" t="s">
        <v>772</v>
      </c>
      <c r="E68" s="46" t="s">
        <v>773</v>
      </c>
      <c r="F68" s="47">
        <v>44277</v>
      </c>
      <c r="G68" s="47">
        <v>45498</v>
      </c>
      <c r="H68" s="48"/>
      <c r="I68" s="49" t="s">
        <v>176</v>
      </c>
      <c r="J68" s="46" t="s">
        <v>177</v>
      </c>
      <c r="K68" s="45" t="s">
        <v>774</v>
      </c>
      <c r="L68" s="45" t="s">
        <v>775</v>
      </c>
      <c r="M68" s="50" t="s">
        <v>776</v>
      </c>
      <c r="N68" s="71" t="s">
        <v>777</v>
      </c>
      <c r="O68" s="72" t="s">
        <v>778</v>
      </c>
      <c r="P68" s="48"/>
      <c r="Q68" s="48"/>
      <c r="R68" s="45" t="s">
        <v>779</v>
      </c>
      <c r="S68" s="45" t="s">
        <v>264</v>
      </c>
      <c r="T68" s="45" t="s">
        <v>780</v>
      </c>
      <c r="U68" s="45"/>
      <c r="V68" s="45" t="s">
        <v>67</v>
      </c>
      <c r="W68" s="51" t="s">
        <v>95</v>
      </c>
      <c r="X68" s="110" t="s">
        <v>781</v>
      </c>
      <c r="Y68" s="72" t="s">
        <v>83</v>
      </c>
      <c r="Z68" s="72" t="s">
        <v>189</v>
      </c>
      <c r="AA68" s="72" t="s">
        <v>782</v>
      </c>
      <c r="AB68" s="111" t="s">
        <v>783</v>
      </c>
      <c r="AC68" s="72" t="s">
        <v>784</v>
      </c>
      <c r="AD68" s="111" t="s">
        <v>785</v>
      </c>
      <c r="AE68" s="103" t="s">
        <v>423</v>
      </c>
      <c r="AF68" s="111" t="s">
        <v>786</v>
      </c>
      <c r="AG68" s="72" t="s">
        <v>196</v>
      </c>
      <c r="AH68" s="111" t="s">
        <v>787</v>
      </c>
      <c r="AI68" s="115" t="s">
        <v>788</v>
      </c>
      <c r="AJ68" s="111" t="s">
        <v>789</v>
      </c>
      <c r="AK68" s="72" t="s">
        <v>189</v>
      </c>
      <c r="AL68" s="72" t="s">
        <v>199</v>
      </c>
      <c r="AM68" s="112"/>
      <c r="AN68" s="136"/>
      <c r="AO68" s="136">
        <v>0</v>
      </c>
      <c r="AP68" s="136">
        <f t="shared" si="17"/>
        <v>0</v>
      </c>
      <c r="AQ68" s="136">
        <v>0</v>
      </c>
      <c r="AR68" s="136">
        <f t="shared" si="0"/>
        <v>0</v>
      </c>
      <c r="AS68" s="136">
        <v>2</v>
      </c>
      <c r="AT68" s="136">
        <f t="shared" si="0"/>
        <v>0</v>
      </c>
      <c r="AU68" s="136">
        <v>0</v>
      </c>
      <c r="AV68" s="136">
        <f t="shared" si="0"/>
        <v>0</v>
      </c>
      <c r="AW68" s="136">
        <v>0</v>
      </c>
      <c r="AX68" s="136">
        <f t="shared" si="18"/>
        <v>0</v>
      </c>
      <c r="AY68" s="136">
        <v>0</v>
      </c>
      <c r="AZ68" s="136">
        <f t="shared" si="1"/>
        <v>0</v>
      </c>
      <c r="BA68" s="136">
        <v>0</v>
      </c>
      <c r="BB68" s="136">
        <f t="shared" si="2"/>
        <v>0</v>
      </c>
      <c r="BC68" s="136">
        <v>0</v>
      </c>
      <c r="BD68" s="136">
        <f t="shared" si="3"/>
        <v>0</v>
      </c>
      <c r="BE68" s="136">
        <v>0</v>
      </c>
      <c r="BF68" s="136">
        <f t="shared" si="4"/>
        <v>0</v>
      </c>
      <c r="BG68" s="136">
        <v>0</v>
      </c>
      <c r="BH68" s="136">
        <f t="shared" si="5"/>
        <v>0</v>
      </c>
      <c r="BI68" s="88">
        <f t="shared" si="6"/>
        <v>0</v>
      </c>
      <c r="BJ68" s="82" t="s">
        <v>201</v>
      </c>
      <c r="BK68" s="88">
        <v>1</v>
      </c>
      <c r="BL68" s="137"/>
      <c r="BM68" s="84"/>
      <c r="BN68" s="84"/>
      <c r="BO68" s="84" t="s">
        <v>202</v>
      </c>
      <c r="BP68" s="137"/>
      <c r="BQ68" s="84"/>
      <c r="BR68" s="84" t="s">
        <v>202</v>
      </c>
      <c r="BS68" s="84"/>
      <c r="BT68" s="138"/>
    </row>
    <row r="69" spans="1:72" ht="65.25" thickTop="1" thickBot="1">
      <c r="A69" s="106"/>
      <c r="B69" s="38">
        <v>63</v>
      </c>
      <c r="C69" s="139" t="s">
        <v>258</v>
      </c>
      <c r="D69" s="38" t="s">
        <v>729</v>
      </c>
      <c r="E69" s="39" t="s">
        <v>790</v>
      </c>
      <c r="F69" s="40">
        <v>44277</v>
      </c>
      <c r="G69" s="40">
        <v>45562</v>
      </c>
      <c r="H69" s="41" t="s">
        <v>791</v>
      </c>
      <c r="I69" s="42" t="s">
        <v>176</v>
      </c>
      <c r="J69" s="39" t="s">
        <v>177</v>
      </c>
      <c r="K69" s="38" t="s">
        <v>792</v>
      </c>
      <c r="L69" s="38" t="s">
        <v>793</v>
      </c>
      <c r="M69" s="43" t="s">
        <v>794</v>
      </c>
      <c r="N69" s="70" t="s">
        <v>795</v>
      </c>
      <c r="O69" s="38" t="s">
        <v>796</v>
      </c>
      <c r="P69" s="41"/>
      <c r="Q69" s="41"/>
      <c r="R69" s="38"/>
      <c r="S69" s="38"/>
      <c r="T69" s="73"/>
      <c r="U69" s="73"/>
      <c r="V69" s="73" t="s">
        <v>67</v>
      </c>
      <c r="W69" s="44" t="s">
        <v>95</v>
      </c>
      <c r="X69" s="113" t="s">
        <v>795</v>
      </c>
      <c r="Y69" s="73" t="s">
        <v>81</v>
      </c>
      <c r="Z69" s="73" t="s">
        <v>589</v>
      </c>
      <c r="AA69" s="73" t="s">
        <v>797</v>
      </c>
      <c r="AB69" s="74" t="s">
        <v>798</v>
      </c>
      <c r="AC69" s="73" t="s">
        <v>799</v>
      </c>
      <c r="AD69" s="74" t="s">
        <v>694</v>
      </c>
      <c r="AE69" s="114" t="s">
        <v>555</v>
      </c>
      <c r="AF69" s="74" t="s">
        <v>604</v>
      </c>
      <c r="AG69" s="73" t="s">
        <v>196</v>
      </c>
      <c r="AH69" s="74" t="s">
        <v>605</v>
      </c>
      <c r="AI69" s="116" t="s">
        <v>800</v>
      </c>
      <c r="AJ69" s="74" t="s">
        <v>801</v>
      </c>
      <c r="AK69" s="73" t="s">
        <v>189</v>
      </c>
      <c r="AL69" s="73" t="s">
        <v>199</v>
      </c>
      <c r="AM69" s="104" t="s">
        <v>802</v>
      </c>
      <c r="AN69" s="132"/>
      <c r="AO69" s="132">
        <v>0</v>
      </c>
      <c r="AP69" s="133">
        <f t="shared" si="17"/>
        <v>0</v>
      </c>
      <c r="AQ69" s="132">
        <v>0</v>
      </c>
      <c r="AR69" s="133">
        <f t="shared" si="0"/>
        <v>0</v>
      </c>
      <c r="AS69" s="132">
        <v>2</v>
      </c>
      <c r="AT69" s="133">
        <f t="shared" si="0"/>
        <v>0</v>
      </c>
      <c r="AU69" s="132">
        <v>0</v>
      </c>
      <c r="AV69" s="133">
        <f t="shared" si="0"/>
        <v>0</v>
      </c>
      <c r="AW69" s="132">
        <v>0</v>
      </c>
      <c r="AX69" s="133">
        <f t="shared" si="18"/>
        <v>0</v>
      </c>
      <c r="AY69" s="132">
        <v>0</v>
      </c>
      <c r="AZ69" s="133">
        <f t="shared" si="1"/>
        <v>0</v>
      </c>
      <c r="BA69" s="132">
        <v>0</v>
      </c>
      <c r="BB69" s="133">
        <f t="shared" si="2"/>
        <v>0</v>
      </c>
      <c r="BC69" s="132">
        <v>0</v>
      </c>
      <c r="BD69" s="133">
        <f t="shared" si="3"/>
        <v>0</v>
      </c>
      <c r="BE69" s="132">
        <v>0</v>
      </c>
      <c r="BF69" s="133">
        <f t="shared" si="4"/>
        <v>0</v>
      </c>
      <c r="BG69" s="132">
        <v>0</v>
      </c>
      <c r="BH69" s="133">
        <f t="shared" si="5"/>
        <v>0</v>
      </c>
      <c r="BI69" s="89">
        <f t="shared" si="6"/>
        <v>0</v>
      </c>
      <c r="BJ69" s="83"/>
      <c r="BK69" s="89">
        <v>1</v>
      </c>
      <c r="BL69" s="134"/>
      <c r="BM69" s="85"/>
      <c r="BN69" s="85"/>
      <c r="BO69" s="85" t="s">
        <v>202</v>
      </c>
      <c r="BP69" s="134"/>
      <c r="BQ69" s="85"/>
      <c r="BR69" s="85" t="s">
        <v>202</v>
      </c>
      <c r="BS69" s="85"/>
      <c r="BT69" s="135"/>
    </row>
    <row r="70" spans="1:72" ht="269.25" thickTop="1" thickBot="1">
      <c r="A70" s="106"/>
      <c r="B70" s="45">
        <v>64</v>
      </c>
      <c r="C70" s="140" t="s">
        <v>803</v>
      </c>
      <c r="D70" s="45" t="s">
        <v>804</v>
      </c>
      <c r="E70" s="46" t="s">
        <v>805</v>
      </c>
      <c r="F70" s="47">
        <v>44277</v>
      </c>
      <c r="G70" s="47" t="s">
        <v>806</v>
      </c>
      <c r="H70" s="48" t="s">
        <v>807</v>
      </c>
      <c r="I70" s="49" t="s">
        <v>176</v>
      </c>
      <c r="J70" s="46" t="s">
        <v>177</v>
      </c>
      <c r="K70" s="45" t="s">
        <v>774</v>
      </c>
      <c r="L70" s="45" t="s">
        <v>808</v>
      </c>
      <c r="M70" s="50" t="s">
        <v>809</v>
      </c>
      <c r="N70" s="71" t="s">
        <v>810</v>
      </c>
      <c r="O70" s="72" t="s">
        <v>811</v>
      </c>
      <c r="P70" s="48"/>
      <c r="Q70" s="48"/>
      <c r="R70" s="45"/>
      <c r="S70" s="45"/>
      <c r="T70" s="45" t="s">
        <v>780</v>
      </c>
      <c r="U70" s="45"/>
      <c r="V70" s="45" t="s">
        <v>67</v>
      </c>
      <c r="W70" s="51" t="s">
        <v>95</v>
      </c>
      <c r="X70" s="110" t="s">
        <v>812</v>
      </c>
      <c r="Y70" s="72" t="s">
        <v>83</v>
      </c>
      <c r="Z70" s="72" t="s">
        <v>189</v>
      </c>
      <c r="AA70" s="72" t="s">
        <v>813</v>
      </c>
      <c r="AB70" s="111" t="s">
        <v>814</v>
      </c>
      <c r="AC70" s="72" t="s">
        <v>815</v>
      </c>
      <c r="AD70" s="111" t="s">
        <v>816</v>
      </c>
      <c r="AE70" s="103" t="s">
        <v>423</v>
      </c>
      <c r="AF70" s="111" t="s">
        <v>543</v>
      </c>
      <c r="AG70" s="72" t="s">
        <v>196</v>
      </c>
      <c r="AH70" s="111" t="s">
        <v>544</v>
      </c>
      <c r="AI70" s="115" t="s">
        <v>817</v>
      </c>
      <c r="AJ70" s="111" t="s">
        <v>818</v>
      </c>
      <c r="AK70" s="72" t="s">
        <v>189</v>
      </c>
      <c r="AL70" s="72" t="s">
        <v>199</v>
      </c>
      <c r="AM70" s="112" t="s">
        <v>819</v>
      </c>
      <c r="AN70" s="136"/>
      <c r="AO70" s="136">
        <v>0</v>
      </c>
      <c r="AP70" s="136">
        <f t="shared" si="17"/>
        <v>0</v>
      </c>
      <c r="AQ70" s="136">
        <v>0</v>
      </c>
      <c r="AR70" s="136"/>
      <c r="AS70" s="136">
        <v>2</v>
      </c>
      <c r="AT70" s="136"/>
      <c r="AU70" s="136">
        <v>0</v>
      </c>
      <c r="AV70" s="136"/>
      <c r="AW70" s="136">
        <v>0</v>
      </c>
      <c r="AX70" s="136"/>
      <c r="AY70" s="136">
        <v>0</v>
      </c>
      <c r="AZ70" s="136"/>
      <c r="BA70" s="136">
        <v>0</v>
      </c>
      <c r="BB70" s="136"/>
      <c r="BC70" s="136">
        <v>0</v>
      </c>
      <c r="BD70" s="136">
        <f t="shared" si="3"/>
        <v>0</v>
      </c>
      <c r="BE70" s="136"/>
      <c r="BF70" s="136"/>
      <c r="BG70" s="136">
        <v>0</v>
      </c>
      <c r="BH70" s="136"/>
      <c r="BI70" s="88"/>
      <c r="BJ70" s="82"/>
      <c r="BK70" s="88">
        <v>0</v>
      </c>
      <c r="BL70" s="137"/>
      <c r="BM70" s="84"/>
      <c r="BN70" s="84"/>
      <c r="BO70" s="84"/>
      <c r="BP70" s="137"/>
      <c r="BQ70" s="84"/>
      <c r="BR70" s="84"/>
      <c r="BS70" s="84"/>
      <c r="BT70" s="138"/>
    </row>
    <row r="71" spans="1:72" ht="116.25" thickTop="1" thickBot="1">
      <c r="A71" s="106"/>
      <c r="B71" s="38">
        <v>65</v>
      </c>
      <c r="C71" s="139" t="s">
        <v>323</v>
      </c>
      <c r="D71" s="38" t="s">
        <v>804</v>
      </c>
      <c r="E71" s="39" t="s">
        <v>805</v>
      </c>
      <c r="F71" s="40">
        <v>45582</v>
      </c>
      <c r="G71" s="40">
        <v>45838</v>
      </c>
      <c r="H71" s="41" t="s">
        <v>820</v>
      </c>
      <c r="I71" s="42" t="s">
        <v>176</v>
      </c>
      <c r="J71" s="39" t="s">
        <v>177</v>
      </c>
      <c r="K71" s="38" t="s">
        <v>325</v>
      </c>
      <c r="L71" s="38" t="s">
        <v>808</v>
      </c>
      <c r="M71" s="43" t="s">
        <v>809</v>
      </c>
      <c r="N71" s="70" t="s">
        <v>821</v>
      </c>
      <c r="O71" s="38" t="s">
        <v>811</v>
      </c>
      <c r="P71" s="41"/>
      <c r="Q71" s="41"/>
      <c r="R71" s="38"/>
      <c r="S71" s="38"/>
      <c r="T71" s="73" t="s">
        <v>780</v>
      </c>
      <c r="U71" s="73"/>
      <c r="V71" s="73" t="s">
        <v>67</v>
      </c>
      <c r="W71" s="44" t="s">
        <v>95</v>
      </c>
      <c r="X71" s="113" t="s">
        <v>812</v>
      </c>
      <c r="Y71" s="73" t="s">
        <v>83</v>
      </c>
      <c r="Z71" s="73" t="s">
        <v>189</v>
      </c>
      <c r="AA71" s="73" t="s">
        <v>822</v>
      </c>
      <c r="AB71" s="74" t="s">
        <v>823</v>
      </c>
      <c r="AC71" s="73" t="s">
        <v>824</v>
      </c>
      <c r="AD71" s="74" t="s">
        <v>825</v>
      </c>
      <c r="AE71" s="114" t="s">
        <v>199</v>
      </c>
      <c r="AF71" s="74" t="s">
        <v>543</v>
      </c>
      <c r="AG71" s="73" t="s">
        <v>196</v>
      </c>
      <c r="AH71" s="74" t="s">
        <v>544</v>
      </c>
      <c r="AI71" s="116" t="s">
        <v>826</v>
      </c>
      <c r="AJ71" s="74" t="s">
        <v>818</v>
      </c>
      <c r="AK71" s="73" t="s">
        <v>189</v>
      </c>
      <c r="AL71" s="73" t="s">
        <v>199</v>
      </c>
      <c r="AM71" s="104"/>
      <c r="AN71" s="132"/>
      <c r="AO71" s="132">
        <v>0</v>
      </c>
      <c r="AP71" s="133">
        <f t="shared" si="17"/>
        <v>0</v>
      </c>
      <c r="AQ71" s="132">
        <v>0</v>
      </c>
      <c r="AR71" s="133">
        <f t="shared" si="0"/>
        <v>0</v>
      </c>
      <c r="AS71" s="132"/>
      <c r="AT71" s="133">
        <f t="shared" si="0"/>
        <v>0</v>
      </c>
      <c r="AU71" s="132"/>
      <c r="AV71" s="133">
        <f t="shared" si="0"/>
        <v>0</v>
      </c>
      <c r="AW71" s="132">
        <v>0</v>
      </c>
      <c r="AX71" s="133">
        <f t="shared" si="18"/>
        <v>0</v>
      </c>
      <c r="AY71" s="132">
        <v>0</v>
      </c>
      <c r="AZ71" s="133">
        <f t="shared" si="1"/>
        <v>0</v>
      </c>
      <c r="BA71" s="132">
        <v>0</v>
      </c>
      <c r="BB71" s="133">
        <f t="shared" si="2"/>
        <v>0</v>
      </c>
      <c r="BC71" s="132"/>
      <c r="BD71" s="133">
        <f t="shared" si="3"/>
        <v>0</v>
      </c>
      <c r="BE71" s="132">
        <v>0</v>
      </c>
      <c r="BF71" s="133">
        <f t="shared" si="4"/>
        <v>0</v>
      </c>
      <c r="BG71" s="132">
        <v>0</v>
      </c>
      <c r="BH71" s="133">
        <f t="shared" si="5"/>
        <v>0</v>
      </c>
      <c r="BI71" s="89">
        <f t="shared" si="6"/>
        <v>0</v>
      </c>
      <c r="BJ71" s="83" t="s">
        <v>201</v>
      </c>
      <c r="BK71" s="89">
        <v>0</v>
      </c>
      <c r="BL71" s="134"/>
      <c r="BM71" s="85"/>
      <c r="BN71" s="85"/>
      <c r="BO71" s="85" t="s">
        <v>202</v>
      </c>
      <c r="BP71" s="134"/>
      <c r="BQ71" s="85"/>
      <c r="BR71" s="85" t="s">
        <v>202</v>
      </c>
      <c r="BS71" s="85"/>
      <c r="BT71" s="135"/>
    </row>
    <row r="72" spans="1:72" ht="129" thickTop="1" thickBot="1">
      <c r="A72" s="106"/>
      <c r="B72" s="45">
        <v>66</v>
      </c>
      <c r="C72" s="140" t="s">
        <v>427</v>
      </c>
      <c r="D72" s="45" t="s">
        <v>827</v>
      </c>
      <c r="E72" s="46" t="s">
        <v>828</v>
      </c>
      <c r="F72" s="47">
        <v>44277</v>
      </c>
      <c r="G72" s="47"/>
      <c r="H72" s="48"/>
      <c r="I72" s="49" t="s">
        <v>176</v>
      </c>
      <c r="J72" s="46" t="s">
        <v>177</v>
      </c>
      <c r="K72" s="45" t="s">
        <v>829</v>
      </c>
      <c r="L72" s="45" t="s">
        <v>830</v>
      </c>
      <c r="M72" s="50" t="s">
        <v>831</v>
      </c>
      <c r="N72" s="71" t="s">
        <v>832</v>
      </c>
      <c r="O72" s="72" t="s">
        <v>833</v>
      </c>
      <c r="P72" s="48" t="s">
        <v>834</v>
      </c>
      <c r="Q72" s="48" t="s">
        <v>835</v>
      </c>
      <c r="R72" s="45"/>
      <c r="S72" s="45"/>
      <c r="T72" s="45" t="s">
        <v>836</v>
      </c>
      <c r="U72" s="45" t="s">
        <v>837</v>
      </c>
      <c r="V72" s="45" t="s">
        <v>67</v>
      </c>
      <c r="W72" s="51" t="s">
        <v>95</v>
      </c>
      <c r="X72" s="110" t="s">
        <v>838</v>
      </c>
      <c r="Y72" s="72" t="s">
        <v>84</v>
      </c>
      <c r="Z72" s="72" t="s">
        <v>189</v>
      </c>
      <c r="AA72" s="72" t="s">
        <v>199</v>
      </c>
      <c r="AB72" s="111" t="s">
        <v>199</v>
      </c>
      <c r="AC72" s="72" t="s">
        <v>839</v>
      </c>
      <c r="AD72" s="111" t="s">
        <v>840</v>
      </c>
      <c r="AE72" s="103" t="s">
        <v>839</v>
      </c>
      <c r="AF72" s="111" t="s">
        <v>841</v>
      </c>
      <c r="AG72" s="72" t="s">
        <v>196</v>
      </c>
      <c r="AH72" s="111" t="s">
        <v>842</v>
      </c>
      <c r="AI72" s="115" t="s">
        <v>843</v>
      </c>
      <c r="AJ72" s="111" t="s">
        <v>844</v>
      </c>
      <c r="AK72" s="72" t="s">
        <v>189</v>
      </c>
      <c r="AL72" s="72" t="s">
        <v>199</v>
      </c>
      <c r="AM72" s="112" t="s">
        <v>845</v>
      </c>
      <c r="AN72" s="136"/>
      <c r="AO72" s="136">
        <v>0</v>
      </c>
      <c r="AP72" s="136">
        <f t="shared" si="17"/>
        <v>0</v>
      </c>
      <c r="AQ72" s="136">
        <v>0</v>
      </c>
      <c r="AR72" s="136">
        <f t="shared" si="0"/>
        <v>0</v>
      </c>
      <c r="AS72" s="136"/>
      <c r="AT72" s="136">
        <f t="shared" si="0"/>
        <v>0</v>
      </c>
      <c r="AU72" s="136"/>
      <c r="AV72" s="136">
        <f t="shared" si="0"/>
        <v>0</v>
      </c>
      <c r="AW72" s="136">
        <v>0</v>
      </c>
      <c r="AX72" s="136">
        <f t="shared" si="18"/>
        <v>0</v>
      </c>
      <c r="AY72" s="136">
        <v>0</v>
      </c>
      <c r="AZ72" s="136">
        <f t="shared" si="1"/>
        <v>0</v>
      </c>
      <c r="BA72" s="136">
        <v>0</v>
      </c>
      <c r="BB72" s="136">
        <f t="shared" si="2"/>
        <v>0</v>
      </c>
      <c r="BC72" s="136"/>
      <c r="BD72" s="136">
        <f t="shared" si="3"/>
        <v>0</v>
      </c>
      <c r="BE72" s="136">
        <v>0</v>
      </c>
      <c r="BF72" s="136">
        <f t="shared" si="4"/>
        <v>0</v>
      </c>
      <c r="BG72" s="136">
        <v>0</v>
      </c>
      <c r="BH72" s="136">
        <f t="shared" si="5"/>
        <v>0</v>
      </c>
      <c r="BI72" s="88">
        <f t="shared" si="6"/>
        <v>0</v>
      </c>
      <c r="BJ72" s="82" t="s">
        <v>201</v>
      </c>
      <c r="BK72" s="88">
        <v>1</v>
      </c>
      <c r="BL72" s="137"/>
      <c r="BM72" s="84"/>
      <c r="BN72" s="84"/>
      <c r="BO72" s="84" t="s">
        <v>202</v>
      </c>
      <c r="BP72" s="137"/>
      <c r="BQ72" s="84"/>
      <c r="BR72" s="84" t="s">
        <v>202</v>
      </c>
      <c r="BS72" s="84"/>
      <c r="BT72" s="138"/>
    </row>
    <row r="73" spans="1:72" ht="90.75" thickTop="1" thickBot="1">
      <c r="A73" s="106"/>
      <c r="B73" s="38">
        <v>67</v>
      </c>
      <c r="C73" s="139" t="s">
        <v>427</v>
      </c>
      <c r="D73" s="38" t="s">
        <v>804</v>
      </c>
      <c r="E73" s="39" t="s">
        <v>846</v>
      </c>
      <c r="F73" s="40">
        <v>44277</v>
      </c>
      <c r="G73" s="40"/>
      <c r="H73" s="41"/>
      <c r="I73" s="42" t="s">
        <v>176</v>
      </c>
      <c r="J73" s="39" t="s">
        <v>177</v>
      </c>
      <c r="K73" s="38" t="s">
        <v>847</v>
      </c>
      <c r="L73" s="38" t="s">
        <v>847</v>
      </c>
      <c r="M73" s="43" t="s">
        <v>848</v>
      </c>
      <c r="N73" s="70" t="s">
        <v>849</v>
      </c>
      <c r="O73" s="38" t="s">
        <v>850</v>
      </c>
      <c r="P73" s="41" t="s">
        <v>851</v>
      </c>
      <c r="Q73" s="41" t="s">
        <v>852</v>
      </c>
      <c r="R73" s="38"/>
      <c r="S73" s="38"/>
      <c r="T73" s="73" t="s">
        <v>185</v>
      </c>
      <c r="U73" s="73" t="s">
        <v>853</v>
      </c>
      <c r="V73" s="73" t="s">
        <v>67</v>
      </c>
      <c r="W73" s="44" t="s">
        <v>95</v>
      </c>
      <c r="X73" s="113" t="s">
        <v>854</v>
      </c>
      <c r="Y73" s="73" t="s">
        <v>81</v>
      </c>
      <c r="Z73" s="73" t="s">
        <v>855</v>
      </c>
      <c r="AA73" s="73" t="s">
        <v>199</v>
      </c>
      <c r="AB73" s="74" t="s">
        <v>199</v>
      </c>
      <c r="AC73" s="73" t="s">
        <v>856</v>
      </c>
      <c r="AD73" s="74" t="s">
        <v>857</v>
      </c>
      <c r="AE73" s="114" t="s">
        <v>858</v>
      </c>
      <c r="AF73" s="74" t="s">
        <v>189</v>
      </c>
      <c r="AG73" s="73" t="s">
        <v>196</v>
      </c>
      <c r="AH73" s="74" t="s">
        <v>605</v>
      </c>
      <c r="AI73" s="116" t="s">
        <v>859</v>
      </c>
      <c r="AJ73" s="74" t="s">
        <v>844</v>
      </c>
      <c r="AK73" s="73" t="s">
        <v>189</v>
      </c>
      <c r="AL73" s="73" t="s">
        <v>199</v>
      </c>
      <c r="AM73" s="104" t="s">
        <v>860</v>
      </c>
      <c r="AN73" s="132"/>
      <c r="AO73" s="132">
        <v>0</v>
      </c>
      <c r="AP73" s="133">
        <f t="shared" si="17"/>
        <v>0</v>
      </c>
      <c r="AQ73" s="132">
        <v>0</v>
      </c>
      <c r="AR73" s="133">
        <f t="shared" si="0"/>
        <v>0</v>
      </c>
      <c r="AS73" s="132"/>
      <c r="AT73" s="133">
        <f t="shared" si="0"/>
        <v>0</v>
      </c>
      <c r="AU73" s="132"/>
      <c r="AV73" s="133">
        <f t="shared" si="0"/>
        <v>0</v>
      </c>
      <c r="AW73" s="132">
        <v>0</v>
      </c>
      <c r="AX73" s="133">
        <f t="shared" si="18"/>
        <v>0</v>
      </c>
      <c r="AY73" s="132">
        <v>0</v>
      </c>
      <c r="AZ73" s="133">
        <f t="shared" si="1"/>
        <v>0</v>
      </c>
      <c r="BA73" s="132">
        <v>0</v>
      </c>
      <c r="BB73" s="133">
        <f t="shared" si="2"/>
        <v>0</v>
      </c>
      <c r="BC73" s="132"/>
      <c r="BD73" s="133">
        <f t="shared" si="3"/>
        <v>0</v>
      </c>
      <c r="BE73" s="132">
        <v>0</v>
      </c>
      <c r="BF73" s="133">
        <f t="shared" si="4"/>
        <v>0</v>
      </c>
      <c r="BG73" s="132">
        <v>0</v>
      </c>
      <c r="BH73" s="133">
        <f t="shared" si="5"/>
        <v>0</v>
      </c>
      <c r="BI73" s="89">
        <f t="shared" si="6"/>
        <v>0</v>
      </c>
      <c r="BJ73" s="83" t="s">
        <v>201</v>
      </c>
      <c r="BK73" s="89">
        <v>1</v>
      </c>
      <c r="BL73" s="134"/>
      <c r="BM73" s="85"/>
      <c r="BN73" s="85"/>
      <c r="BO73" s="85" t="s">
        <v>202</v>
      </c>
      <c r="BP73" s="134"/>
      <c r="BQ73" s="85"/>
      <c r="BR73" s="85" t="s">
        <v>202</v>
      </c>
      <c r="BS73" s="85"/>
      <c r="BT73" s="135"/>
    </row>
    <row r="74" spans="1:72" ht="65.25" thickTop="1" thickBot="1">
      <c r="A74" s="106"/>
      <c r="B74" s="45">
        <v>68</v>
      </c>
      <c r="C74" s="140" t="s">
        <v>278</v>
      </c>
      <c r="D74" s="45" t="s">
        <v>861</v>
      </c>
      <c r="E74" s="46" t="s">
        <v>862</v>
      </c>
      <c r="F74" s="47">
        <v>45078</v>
      </c>
      <c r="G74" s="47" t="s">
        <v>361</v>
      </c>
      <c r="H74" s="48" t="s">
        <v>863</v>
      </c>
      <c r="I74" s="49" t="s">
        <v>176</v>
      </c>
      <c r="J74" s="46" t="s">
        <v>177</v>
      </c>
      <c r="K74" s="45" t="s">
        <v>864</v>
      </c>
      <c r="L74" s="45" t="s">
        <v>865</v>
      </c>
      <c r="M74" s="50"/>
      <c r="N74" s="71" t="s">
        <v>866</v>
      </c>
      <c r="O74" s="72" t="s">
        <v>867</v>
      </c>
      <c r="P74" s="48"/>
      <c r="Q74" s="48"/>
      <c r="R74" s="45"/>
      <c r="S74" s="45" t="s">
        <v>868</v>
      </c>
      <c r="T74" s="45"/>
      <c r="U74" s="45"/>
      <c r="V74" s="45" t="s">
        <v>67</v>
      </c>
      <c r="W74" s="51" t="s">
        <v>95</v>
      </c>
      <c r="X74" s="110" t="s">
        <v>869</v>
      </c>
      <c r="Y74" s="72" t="s">
        <v>84</v>
      </c>
      <c r="Z74" s="72" t="s">
        <v>589</v>
      </c>
      <c r="AA74" s="72" t="s">
        <v>199</v>
      </c>
      <c r="AB74" s="111" t="s">
        <v>199</v>
      </c>
      <c r="AC74" s="72" t="s">
        <v>870</v>
      </c>
      <c r="AD74" s="111" t="s">
        <v>871</v>
      </c>
      <c r="AE74" s="103" t="s">
        <v>872</v>
      </c>
      <c r="AF74" s="111" t="s">
        <v>873</v>
      </c>
      <c r="AG74" s="72" t="s">
        <v>189</v>
      </c>
      <c r="AH74" s="111" t="s">
        <v>199</v>
      </c>
      <c r="AI74" s="115" t="s">
        <v>874</v>
      </c>
      <c r="AJ74" s="111" t="s">
        <v>875</v>
      </c>
      <c r="AK74" s="72" t="s">
        <v>189</v>
      </c>
      <c r="AL74" s="72" t="s">
        <v>199</v>
      </c>
      <c r="AM74" s="112" t="s">
        <v>876</v>
      </c>
      <c r="AN74" s="136"/>
      <c r="AO74" s="136">
        <v>0</v>
      </c>
      <c r="AP74" s="136">
        <f t="shared" si="17"/>
        <v>0</v>
      </c>
      <c r="AQ74" s="136">
        <v>0</v>
      </c>
      <c r="AR74" s="136">
        <f t="shared" si="0"/>
        <v>0</v>
      </c>
      <c r="AS74" s="136">
        <v>3</v>
      </c>
      <c r="AT74" s="136">
        <f t="shared" si="0"/>
        <v>0</v>
      </c>
      <c r="AU74" s="136">
        <v>0</v>
      </c>
      <c r="AV74" s="136">
        <f t="shared" si="0"/>
        <v>0</v>
      </c>
      <c r="AW74" s="136">
        <v>0</v>
      </c>
      <c r="AX74" s="136">
        <f t="shared" si="18"/>
        <v>0</v>
      </c>
      <c r="AY74" s="136">
        <v>0</v>
      </c>
      <c r="AZ74" s="136">
        <f t="shared" si="1"/>
        <v>0</v>
      </c>
      <c r="BA74" s="136">
        <v>0</v>
      </c>
      <c r="BB74" s="136">
        <f t="shared" si="2"/>
        <v>0</v>
      </c>
      <c r="BC74" s="136">
        <v>0</v>
      </c>
      <c r="BD74" s="136">
        <f t="shared" si="3"/>
        <v>0</v>
      </c>
      <c r="BE74" s="136">
        <v>0</v>
      </c>
      <c r="BF74" s="136">
        <f t="shared" si="4"/>
        <v>0</v>
      </c>
      <c r="BG74" s="136">
        <v>0</v>
      </c>
      <c r="BH74" s="136">
        <f t="shared" si="5"/>
        <v>0</v>
      </c>
      <c r="BI74" s="88">
        <f t="shared" si="6"/>
        <v>0</v>
      </c>
      <c r="BJ74" s="82" t="s">
        <v>201</v>
      </c>
      <c r="BK74" s="88">
        <v>0</v>
      </c>
      <c r="BL74" s="137"/>
      <c r="BM74" s="84"/>
      <c r="BN74" s="84"/>
      <c r="BO74" s="84" t="s">
        <v>202</v>
      </c>
      <c r="BP74" s="137"/>
      <c r="BQ74" s="84"/>
      <c r="BR74" s="84" t="s">
        <v>202</v>
      </c>
      <c r="BS74" s="84"/>
      <c r="BT74" s="138"/>
    </row>
    <row r="75" spans="1:72" ht="180" thickTop="1" thickBot="1">
      <c r="A75" s="106"/>
      <c r="B75" s="38">
        <v>69</v>
      </c>
      <c r="C75" s="139" t="s">
        <v>877</v>
      </c>
      <c r="D75" s="38" t="s">
        <v>351</v>
      </c>
      <c r="E75" s="39" t="s">
        <v>878</v>
      </c>
      <c r="F75" s="40">
        <v>44277</v>
      </c>
      <c r="G75" s="40">
        <v>45468</v>
      </c>
      <c r="H75" s="41" t="s">
        <v>879</v>
      </c>
      <c r="I75" s="42" t="s">
        <v>176</v>
      </c>
      <c r="J75" s="39" t="s">
        <v>177</v>
      </c>
      <c r="K75" s="38" t="s">
        <v>880</v>
      </c>
      <c r="L75" s="38" t="s">
        <v>881</v>
      </c>
      <c r="M75" s="43" t="s">
        <v>882</v>
      </c>
      <c r="N75" s="70" t="s">
        <v>883</v>
      </c>
      <c r="O75" s="38" t="s">
        <v>811</v>
      </c>
      <c r="P75" s="41" t="s">
        <v>884</v>
      </c>
      <c r="Q75" s="41" t="s">
        <v>884</v>
      </c>
      <c r="R75" s="38" t="s">
        <v>885</v>
      </c>
      <c r="S75" s="38" t="s">
        <v>886</v>
      </c>
      <c r="T75" s="73" t="s">
        <v>887</v>
      </c>
      <c r="U75" s="73" t="s">
        <v>888</v>
      </c>
      <c r="V75" s="73" t="s">
        <v>77</v>
      </c>
      <c r="W75" s="44" t="s">
        <v>89</v>
      </c>
      <c r="X75" s="113" t="s">
        <v>889</v>
      </c>
      <c r="Y75" s="73" t="s">
        <v>80</v>
      </c>
      <c r="Z75" s="73" t="s">
        <v>189</v>
      </c>
      <c r="AA75" s="73" t="s">
        <v>199</v>
      </c>
      <c r="AB75" s="74" t="s">
        <v>199</v>
      </c>
      <c r="AC75" s="73" t="s">
        <v>226</v>
      </c>
      <c r="AD75" s="74" t="s">
        <v>890</v>
      </c>
      <c r="AE75" s="114" t="s">
        <v>227</v>
      </c>
      <c r="AF75" s="74" t="s">
        <v>891</v>
      </c>
      <c r="AG75" s="73" t="s">
        <v>196</v>
      </c>
      <c r="AH75" s="74" t="s">
        <v>892</v>
      </c>
      <c r="AI75" s="116" t="s">
        <v>893</v>
      </c>
      <c r="AJ75" s="74" t="s">
        <v>199</v>
      </c>
      <c r="AK75" s="73" t="s">
        <v>189</v>
      </c>
      <c r="AL75" s="73" t="s">
        <v>199</v>
      </c>
      <c r="AM75" s="104"/>
      <c r="AN75" s="132">
        <v>2</v>
      </c>
      <c r="AO75" s="132">
        <v>0</v>
      </c>
      <c r="AP75" s="133">
        <f t="shared" ref="AP75:AP82" si="40">$AN75*AO75</f>
        <v>0</v>
      </c>
      <c r="AQ75" s="132">
        <v>0</v>
      </c>
      <c r="AR75" s="133">
        <f t="shared" si="0"/>
        <v>0</v>
      </c>
      <c r="AS75" s="132">
        <v>0</v>
      </c>
      <c r="AT75" s="133">
        <f t="shared" si="0"/>
        <v>0</v>
      </c>
      <c r="AU75" s="132">
        <v>0</v>
      </c>
      <c r="AV75" s="133">
        <f t="shared" si="0"/>
        <v>0</v>
      </c>
      <c r="AW75" s="132">
        <v>0</v>
      </c>
      <c r="AX75" s="133">
        <f t="shared" si="18"/>
        <v>0</v>
      </c>
      <c r="AY75" s="132">
        <v>0</v>
      </c>
      <c r="AZ75" s="133">
        <f t="shared" si="1"/>
        <v>0</v>
      </c>
      <c r="BA75" s="132">
        <v>0</v>
      </c>
      <c r="BB75" s="133">
        <f t="shared" si="2"/>
        <v>0</v>
      </c>
      <c r="BC75" s="132">
        <v>0</v>
      </c>
      <c r="BD75" s="133">
        <f t="shared" si="3"/>
        <v>0</v>
      </c>
      <c r="BE75" s="132">
        <v>0</v>
      </c>
      <c r="BF75" s="133">
        <f t="shared" si="4"/>
        <v>0</v>
      </c>
      <c r="BG75" s="132">
        <v>0</v>
      </c>
      <c r="BH75" s="133">
        <f t="shared" si="5"/>
        <v>0</v>
      </c>
      <c r="BI75" s="89">
        <f t="shared" si="6"/>
        <v>0</v>
      </c>
      <c r="BJ75" s="83" t="s">
        <v>201</v>
      </c>
      <c r="BK75" s="89">
        <v>0</v>
      </c>
      <c r="BL75" s="134"/>
      <c r="BM75" s="85"/>
      <c r="BN75" s="85"/>
      <c r="BO75" s="85" t="s">
        <v>202</v>
      </c>
      <c r="BP75" s="134"/>
      <c r="BQ75" s="85"/>
      <c r="BR75" s="85" t="s">
        <v>202</v>
      </c>
      <c r="BS75" s="85"/>
      <c r="BT75" s="135"/>
    </row>
    <row r="76" spans="1:72" ht="65.25" thickTop="1" thickBot="1">
      <c r="A76" s="106"/>
      <c r="B76" s="45">
        <v>70</v>
      </c>
      <c r="C76" s="140" t="s">
        <v>258</v>
      </c>
      <c r="D76" s="45" t="s">
        <v>894</v>
      </c>
      <c r="E76" s="46" t="s">
        <v>895</v>
      </c>
      <c r="F76" s="47">
        <v>44277</v>
      </c>
      <c r="G76" s="47"/>
      <c r="H76" s="48"/>
      <c r="I76" s="49" t="s">
        <v>176</v>
      </c>
      <c r="J76" s="46" t="s">
        <v>177</v>
      </c>
      <c r="K76" s="45"/>
      <c r="L76" s="45" t="s">
        <v>896</v>
      </c>
      <c r="M76" s="50"/>
      <c r="N76" s="71" t="s">
        <v>866</v>
      </c>
      <c r="O76" s="72" t="s">
        <v>867</v>
      </c>
      <c r="P76" s="48"/>
      <c r="Q76" s="48"/>
      <c r="R76" s="45" t="s">
        <v>868</v>
      </c>
      <c r="S76" s="45"/>
      <c r="T76" s="45"/>
      <c r="U76" s="45"/>
      <c r="V76" s="45" t="s">
        <v>67</v>
      </c>
      <c r="W76" s="51" t="s">
        <v>95</v>
      </c>
      <c r="X76" s="110" t="s">
        <v>897</v>
      </c>
      <c r="Y76" s="72" t="s">
        <v>84</v>
      </c>
      <c r="Z76" s="72" t="s">
        <v>189</v>
      </c>
      <c r="AA76" s="72" t="s">
        <v>199</v>
      </c>
      <c r="AB76" s="111" t="s">
        <v>199</v>
      </c>
      <c r="AC76" s="72" t="s">
        <v>898</v>
      </c>
      <c r="AD76" s="111" t="s">
        <v>899</v>
      </c>
      <c r="AE76" s="103" t="s">
        <v>197</v>
      </c>
      <c r="AF76" s="111" t="s">
        <v>873</v>
      </c>
      <c r="AG76" s="72" t="s">
        <v>189</v>
      </c>
      <c r="AH76" s="111" t="s">
        <v>199</v>
      </c>
      <c r="AI76" s="115" t="s">
        <v>900</v>
      </c>
      <c r="AJ76" s="111" t="s">
        <v>901</v>
      </c>
      <c r="AK76" s="72" t="s">
        <v>189</v>
      </c>
      <c r="AL76" s="72" t="s">
        <v>199</v>
      </c>
      <c r="AM76" s="112"/>
      <c r="AN76" s="136"/>
      <c r="AO76" s="136">
        <v>0</v>
      </c>
      <c r="AP76" s="136">
        <f t="shared" si="40"/>
        <v>0</v>
      </c>
      <c r="AQ76" s="136">
        <v>0</v>
      </c>
      <c r="AR76" s="136">
        <f t="shared" ref="AR76:AR79" si="41">$AN76*AQ76</f>
        <v>0</v>
      </c>
      <c r="AS76" s="136"/>
      <c r="AT76" s="136">
        <f t="shared" ref="AT76:AT79" si="42">$AN76*AS76</f>
        <v>0</v>
      </c>
      <c r="AU76" s="136"/>
      <c r="AV76" s="136">
        <f t="shared" ref="AV76:AV79" si="43">$AN76*AU76</f>
        <v>0</v>
      </c>
      <c r="AW76" s="136">
        <v>0</v>
      </c>
      <c r="AX76" s="136">
        <f t="shared" ref="AX76:AX79" si="44">$AN76*AW76</f>
        <v>0</v>
      </c>
      <c r="AY76" s="136">
        <v>0</v>
      </c>
      <c r="AZ76" s="136">
        <f t="shared" ref="AZ76:AZ79" si="45">$AN76*AY76</f>
        <v>0</v>
      </c>
      <c r="BA76" s="136">
        <v>0</v>
      </c>
      <c r="BB76" s="136">
        <f t="shared" ref="BB76:BB79" si="46">$AN76*BA76</f>
        <v>0</v>
      </c>
      <c r="BC76" s="136"/>
      <c r="BD76" s="136">
        <f t="shared" ref="BD76:BD79" si="47">$AN76*BC76</f>
        <v>0</v>
      </c>
      <c r="BE76" s="136"/>
      <c r="BF76" s="136">
        <f t="shared" ref="BF76:BF79" si="48">$AN76*BE76</f>
        <v>0</v>
      </c>
      <c r="BG76" s="136">
        <v>0</v>
      </c>
      <c r="BH76" s="136">
        <f t="shared" ref="BH76:BH79" si="49">$AN76*BG76</f>
        <v>0</v>
      </c>
      <c r="BI76" s="88">
        <f t="shared" ref="BI76:BI79" si="50">AP76:AP76+AR76:AR76+AT76:AT76+AV76:AV76+AX76:AX76+AZ76:AZ76+BB76:BB76+BD76:BD76+BF76:BF76+BH76:BH76</f>
        <v>0</v>
      </c>
      <c r="BJ76" s="82" t="s">
        <v>201</v>
      </c>
      <c r="BK76" s="88">
        <v>0</v>
      </c>
      <c r="BL76" s="137"/>
      <c r="BM76" s="84"/>
      <c r="BN76" s="84"/>
      <c r="BO76" s="84"/>
      <c r="BP76" s="137"/>
      <c r="BQ76" s="84"/>
      <c r="BR76" s="84"/>
      <c r="BS76" s="84"/>
      <c r="BT76" s="138"/>
    </row>
    <row r="77" spans="1:72" ht="141.75" thickTop="1" thickBot="1">
      <c r="A77" s="106"/>
      <c r="B77" s="38">
        <v>71</v>
      </c>
      <c r="C77" s="139" t="s">
        <v>803</v>
      </c>
      <c r="D77" s="38" t="s">
        <v>902</v>
      </c>
      <c r="E77" s="39" t="s">
        <v>903</v>
      </c>
      <c r="F77" s="40">
        <v>44277</v>
      </c>
      <c r="G77" s="40" t="s">
        <v>904</v>
      </c>
      <c r="H77" s="41" t="s">
        <v>905</v>
      </c>
      <c r="I77" s="42" t="s">
        <v>176</v>
      </c>
      <c r="J77" s="39" t="s">
        <v>177</v>
      </c>
      <c r="K77" s="38" t="s">
        <v>906</v>
      </c>
      <c r="L77" s="38" t="s">
        <v>907</v>
      </c>
      <c r="M77" s="43" t="s">
        <v>908</v>
      </c>
      <c r="N77" s="70" t="s">
        <v>909</v>
      </c>
      <c r="O77" s="38" t="s">
        <v>615</v>
      </c>
      <c r="P77" s="41"/>
      <c r="Q77" s="41"/>
      <c r="R77" s="38" t="s">
        <v>910</v>
      </c>
      <c r="S77" s="38"/>
      <c r="T77" s="73" t="s">
        <v>911</v>
      </c>
      <c r="U77" s="73"/>
      <c r="V77" s="73" t="s">
        <v>67</v>
      </c>
      <c r="W77" s="44" t="s">
        <v>95</v>
      </c>
      <c r="X77" s="113" t="s">
        <v>912</v>
      </c>
      <c r="Y77" s="73" t="s">
        <v>79</v>
      </c>
      <c r="Z77" s="73" t="s">
        <v>589</v>
      </c>
      <c r="AA77" s="73" t="s">
        <v>199</v>
      </c>
      <c r="AB77" s="74" t="s">
        <v>199</v>
      </c>
      <c r="AC77" s="73" t="s">
        <v>913</v>
      </c>
      <c r="AD77" s="74" t="s">
        <v>913</v>
      </c>
      <c r="AE77" s="114" t="s">
        <v>906</v>
      </c>
      <c r="AF77" s="74" t="s">
        <v>199</v>
      </c>
      <c r="AG77" s="73" t="s">
        <v>199</v>
      </c>
      <c r="AH77" s="74" t="s">
        <v>199</v>
      </c>
      <c r="AI77" s="116" t="s">
        <v>914</v>
      </c>
      <c r="AJ77" s="74" t="s">
        <v>199</v>
      </c>
      <c r="AK77" s="73" t="s">
        <v>189</v>
      </c>
      <c r="AL77" s="73" t="s">
        <v>199</v>
      </c>
      <c r="AM77" s="104" t="s">
        <v>915</v>
      </c>
      <c r="AN77" s="132"/>
      <c r="AO77" s="132">
        <v>0</v>
      </c>
      <c r="AP77" s="133">
        <f t="shared" si="40"/>
        <v>0</v>
      </c>
      <c r="AQ77" s="132">
        <v>0</v>
      </c>
      <c r="AR77" s="133"/>
      <c r="AS77" s="132">
        <v>0</v>
      </c>
      <c r="AT77" s="133"/>
      <c r="AU77" s="132">
        <v>0</v>
      </c>
      <c r="AV77" s="133"/>
      <c r="AW77" s="132">
        <v>0</v>
      </c>
      <c r="AX77" s="133"/>
      <c r="AY77" s="132">
        <v>0</v>
      </c>
      <c r="AZ77" s="133"/>
      <c r="BA77" s="132">
        <v>0</v>
      </c>
      <c r="BB77" s="133"/>
      <c r="BC77" s="132">
        <v>0</v>
      </c>
      <c r="BD77" s="133"/>
      <c r="BE77" s="132"/>
      <c r="BF77" s="133"/>
      <c r="BG77" s="132">
        <v>0</v>
      </c>
      <c r="BH77" s="133"/>
      <c r="BI77" s="89"/>
      <c r="BJ77" s="83"/>
      <c r="BK77" s="89">
        <v>1</v>
      </c>
      <c r="BL77" s="134"/>
      <c r="BM77" s="85"/>
      <c r="BN77" s="85"/>
      <c r="BO77" s="85"/>
      <c r="BP77" s="134"/>
      <c r="BQ77" s="85"/>
      <c r="BR77" s="85"/>
      <c r="BS77" s="85"/>
      <c r="BT77" s="135"/>
    </row>
    <row r="78" spans="1:72" ht="90.75" thickTop="1" thickBot="1">
      <c r="A78" s="106"/>
      <c r="B78" s="45">
        <v>72</v>
      </c>
      <c r="C78" s="140" t="s">
        <v>323</v>
      </c>
      <c r="D78" s="45" t="s">
        <v>902</v>
      </c>
      <c r="E78" s="46" t="s">
        <v>903</v>
      </c>
      <c r="F78" s="47">
        <v>45582</v>
      </c>
      <c r="G78" s="47">
        <v>45838</v>
      </c>
      <c r="H78" s="48" t="s">
        <v>916</v>
      </c>
      <c r="I78" s="49" t="s">
        <v>176</v>
      </c>
      <c r="J78" s="46" t="s">
        <v>177</v>
      </c>
      <c r="K78" s="45" t="s">
        <v>906</v>
      </c>
      <c r="L78" s="45" t="s">
        <v>907</v>
      </c>
      <c r="M78" s="50" t="s">
        <v>908</v>
      </c>
      <c r="N78" s="71" t="s">
        <v>909</v>
      </c>
      <c r="O78" s="72" t="s">
        <v>615</v>
      </c>
      <c r="P78" s="48"/>
      <c r="Q78" s="48"/>
      <c r="R78" s="45" t="s">
        <v>910</v>
      </c>
      <c r="S78" s="45"/>
      <c r="T78" s="45" t="s">
        <v>911</v>
      </c>
      <c r="U78" s="45"/>
      <c r="V78" s="45" t="s">
        <v>67</v>
      </c>
      <c r="W78" s="51" t="s">
        <v>95</v>
      </c>
      <c r="X78" s="110" t="s">
        <v>912</v>
      </c>
      <c r="Y78" s="72" t="s">
        <v>79</v>
      </c>
      <c r="Z78" s="72" t="s">
        <v>589</v>
      </c>
      <c r="AA78" s="72" t="s">
        <v>917</v>
      </c>
      <c r="AB78" s="111" t="s">
        <v>918</v>
      </c>
      <c r="AC78" s="72" t="s">
        <v>824</v>
      </c>
      <c r="AD78" s="111" t="s">
        <v>919</v>
      </c>
      <c r="AE78" s="103" t="s">
        <v>199</v>
      </c>
      <c r="AF78" s="111" t="s">
        <v>199</v>
      </c>
      <c r="AG78" s="72" t="s">
        <v>199</v>
      </c>
      <c r="AH78" s="111" t="s">
        <v>199</v>
      </c>
      <c r="AI78" s="115" t="s">
        <v>914</v>
      </c>
      <c r="AJ78" s="111" t="s">
        <v>199</v>
      </c>
      <c r="AK78" s="72" t="s">
        <v>189</v>
      </c>
      <c r="AL78" s="72" t="s">
        <v>199</v>
      </c>
      <c r="AM78" s="112"/>
      <c r="AN78" s="136"/>
      <c r="AO78" s="136">
        <v>0</v>
      </c>
      <c r="AP78" s="136">
        <f t="shared" si="40"/>
        <v>0</v>
      </c>
      <c r="AQ78" s="136">
        <v>0</v>
      </c>
      <c r="AR78" s="136">
        <f t="shared" si="41"/>
        <v>0</v>
      </c>
      <c r="AS78" s="136"/>
      <c r="AT78" s="136">
        <f t="shared" si="42"/>
        <v>0</v>
      </c>
      <c r="AU78" s="136"/>
      <c r="AV78" s="136">
        <f t="shared" si="43"/>
        <v>0</v>
      </c>
      <c r="AW78" s="136">
        <v>0</v>
      </c>
      <c r="AX78" s="136">
        <f t="shared" si="44"/>
        <v>0</v>
      </c>
      <c r="AY78" s="136">
        <v>0</v>
      </c>
      <c r="AZ78" s="136">
        <f t="shared" si="45"/>
        <v>0</v>
      </c>
      <c r="BA78" s="136">
        <v>0</v>
      </c>
      <c r="BB78" s="136">
        <f t="shared" si="46"/>
        <v>0</v>
      </c>
      <c r="BC78" s="136"/>
      <c r="BD78" s="136">
        <f t="shared" si="47"/>
        <v>0</v>
      </c>
      <c r="BE78" s="136"/>
      <c r="BF78" s="136">
        <f t="shared" si="48"/>
        <v>0</v>
      </c>
      <c r="BG78" s="136">
        <v>0</v>
      </c>
      <c r="BH78" s="136">
        <f t="shared" si="49"/>
        <v>0</v>
      </c>
      <c r="BI78" s="88">
        <f t="shared" si="50"/>
        <v>0</v>
      </c>
      <c r="BJ78" s="82" t="s">
        <v>201</v>
      </c>
      <c r="BK78" s="88">
        <v>1</v>
      </c>
      <c r="BL78" s="137"/>
      <c r="BM78" s="84"/>
      <c r="BN78" s="84"/>
      <c r="BO78" s="84"/>
      <c r="BP78" s="137"/>
      <c r="BQ78" s="84"/>
      <c r="BR78" s="84"/>
      <c r="BS78" s="84"/>
      <c r="BT78" s="138"/>
    </row>
    <row r="79" spans="1:72" ht="116.25" thickTop="1" thickBot="1">
      <c r="A79" s="106"/>
      <c r="B79" s="38">
        <v>73</v>
      </c>
      <c r="C79" s="139" t="s">
        <v>427</v>
      </c>
      <c r="D79" s="38" t="s">
        <v>920</v>
      </c>
      <c r="E79" s="39" t="s">
        <v>921</v>
      </c>
      <c r="F79" s="40">
        <v>45093</v>
      </c>
      <c r="G79" s="40" t="s">
        <v>922</v>
      </c>
      <c r="H79" s="41" t="s">
        <v>923</v>
      </c>
      <c r="I79" s="42" t="s">
        <v>176</v>
      </c>
      <c r="J79" s="39" t="s">
        <v>177</v>
      </c>
      <c r="K79" s="38" t="s">
        <v>924</v>
      </c>
      <c r="L79" s="38" t="s">
        <v>925</v>
      </c>
      <c r="M79" s="43" t="s">
        <v>926</v>
      </c>
      <c r="N79" s="70" t="s">
        <v>920</v>
      </c>
      <c r="O79" s="38" t="s">
        <v>927</v>
      </c>
      <c r="P79" s="41"/>
      <c r="Q79" s="41"/>
      <c r="R79" s="38"/>
      <c r="S79" s="38"/>
      <c r="T79" s="73" t="s">
        <v>928</v>
      </c>
      <c r="U79" s="73"/>
      <c r="V79" s="73" t="s">
        <v>67</v>
      </c>
      <c r="W79" s="44" t="s">
        <v>95</v>
      </c>
      <c r="X79" s="113" t="s">
        <v>929</v>
      </c>
      <c r="Y79" s="73" t="s">
        <v>80</v>
      </c>
      <c r="Z79" s="73" t="s">
        <v>189</v>
      </c>
      <c r="AA79" s="73" t="s">
        <v>930</v>
      </c>
      <c r="AB79" s="74" t="s">
        <v>931</v>
      </c>
      <c r="AC79" s="73" t="s">
        <v>932</v>
      </c>
      <c r="AD79" s="74" t="s">
        <v>933</v>
      </c>
      <c r="AE79" s="114" t="s">
        <v>934</v>
      </c>
      <c r="AF79" s="74" t="s">
        <v>935</v>
      </c>
      <c r="AG79" s="73" t="s">
        <v>519</v>
      </c>
      <c r="AH79" s="74" t="s">
        <v>935</v>
      </c>
      <c r="AI79" s="116" t="s">
        <v>936</v>
      </c>
      <c r="AJ79" s="74" t="s">
        <v>937</v>
      </c>
      <c r="AK79" s="73" t="s">
        <v>189</v>
      </c>
      <c r="AL79" s="73" t="s">
        <v>199</v>
      </c>
      <c r="AM79" s="104" t="s">
        <v>938</v>
      </c>
      <c r="AN79" s="132"/>
      <c r="AO79" s="132">
        <v>0</v>
      </c>
      <c r="AP79" s="133">
        <f t="shared" si="40"/>
        <v>0</v>
      </c>
      <c r="AQ79" s="132">
        <v>0</v>
      </c>
      <c r="AR79" s="133">
        <f t="shared" si="41"/>
        <v>0</v>
      </c>
      <c r="AS79" s="132"/>
      <c r="AT79" s="133">
        <f t="shared" si="42"/>
        <v>0</v>
      </c>
      <c r="AU79" s="132"/>
      <c r="AV79" s="133">
        <f t="shared" si="43"/>
        <v>0</v>
      </c>
      <c r="AW79" s="132">
        <v>0</v>
      </c>
      <c r="AX79" s="133">
        <f t="shared" si="44"/>
        <v>0</v>
      </c>
      <c r="AY79" s="132">
        <v>0</v>
      </c>
      <c r="AZ79" s="133">
        <f t="shared" si="45"/>
        <v>0</v>
      </c>
      <c r="BA79" s="132">
        <v>0</v>
      </c>
      <c r="BB79" s="133">
        <f t="shared" si="46"/>
        <v>0</v>
      </c>
      <c r="BC79" s="132"/>
      <c r="BD79" s="133">
        <f t="shared" si="47"/>
        <v>0</v>
      </c>
      <c r="BE79" s="132"/>
      <c r="BF79" s="133">
        <f t="shared" si="48"/>
        <v>0</v>
      </c>
      <c r="BG79" s="132">
        <v>0</v>
      </c>
      <c r="BH79" s="133">
        <f t="shared" si="49"/>
        <v>0</v>
      </c>
      <c r="BI79" s="89">
        <f t="shared" si="50"/>
        <v>0</v>
      </c>
      <c r="BJ79" s="83" t="s">
        <v>201</v>
      </c>
      <c r="BK79" s="89">
        <v>1</v>
      </c>
      <c r="BL79" s="134"/>
      <c r="BM79" s="85"/>
      <c r="BN79" s="85"/>
      <c r="BO79" s="85"/>
      <c r="BP79" s="134"/>
      <c r="BQ79" s="85"/>
      <c r="BR79" s="85"/>
      <c r="BS79" s="85"/>
      <c r="BT79" s="135"/>
    </row>
    <row r="80" spans="1:72" ht="129" thickTop="1" thickBot="1">
      <c r="A80" s="106"/>
      <c r="B80" s="45">
        <v>74</v>
      </c>
      <c r="C80" s="140" t="s">
        <v>427</v>
      </c>
      <c r="D80" s="45" t="s">
        <v>939</v>
      </c>
      <c r="E80" s="46" t="s">
        <v>940</v>
      </c>
      <c r="F80" s="47">
        <v>45096</v>
      </c>
      <c r="G80" s="47">
        <v>45862</v>
      </c>
      <c r="H80" s="48" t="s">
        <v>941</v>
      </c>
      <c r="I80" s="49" t="s">
        <v>176</v>
      </c>
      <c r="J80" s="46" t="s">
        <v>177</v>
      </c>
      <c r="K80" s="45" t="s">
        <v>774</v>
      </c>
      <c r="L80" s="45" t="s">
        <v>942</v>
      </c>
      <c r="M80" s="50" t="s">
        <v>943</v>
      </c>
      <c r="N80" s="71" t="s">
        <v>944</v>
      </c>
      <c r="O80" s="72" t="s">
        <v>945</v>
      </c>
      <c r="P80" s="48"/>
      <c r="Q80" s="48"/>
      <c r="R80" s="45"/>
      <c r="S80" s="45" t="s">
        <v>264</v>
      </c>
      <c r="T80" s="45" t="s">
        <v>946</v>
      </c>
      <c r="U80" s="45"/>
      <c r="V80" s="45" t="s">
        <v>67</v>
      </c>
      <c r="W80" s="51" t="s">
        <v>95</v>
      </c>
      <c r="X80" s="110" t="s">
        <v>947</v>
      </c>
      <c r="Y80" s="72" t="s">
        <v>79</v>
      </c>
      <c r="Z80" s="72" t="s">
        <v>196</v>
      </c>
      <c r="AA80" s="72" t="s">
        <v>948</v>
      </c>
      <c r="AB80" s="111" t="s">
        <v>949</v>
      </c>
      <c r="AC80" s="72" t="s">
        <v>950</v>
      </c>
      <c r="AD80" s="111" t="s">
        <v>951</v>
      </c>
      <c r="AE80" s="103" t="s">
        <v>952</v>
      </c>
      <c r="AF80" s="111" t="s">
        <v>605</v>
      </c>
      <c r="AG80" s="72" t="s">
        <v>189</v>
      </c>
      <c r="AH80" s="111" t="s">
        <v>199</v>
      </c>
      <c r="AI80" s="115" t="s">
        <v>953</v>
      </c>
      <c r="AJ80" s="111" t="s">
        <v>199</v>
      </c>
      <c r="AK80" s="72" t="s">
        <v>189</v>
      </c>
      <c r="AL80" s="72" t="s">
        <v>199</v>
      </c>
      <c r="AM80" s="112" t="s">
        <v>954</v>
      </c>
      <c r="AN80" s="136"/>
      <c r="AO80" s="136">
        <v>0</v>
      </c>
      <c r="AP80" s="136">
        <f t="shared" si="40"/>
        <v>0</v>
      </c>
      <c r="AQ80" s="136">
        <v>0</v>
      </c>
      <c r="AR80" s="136">
        <f t="shared" ref="AR80:AR82" si="51">$AN80*AQ80</f>
        <v>0</v>
      </c>
      <c r="AS80" s="136">
        <v>3</v>
      </c>
      <c r="AT80" s="136">
        <f t="shared" ref="AT80:AT82" si="52">$AN80*AS80</f>
        <v>0</v>
      </c>
      <c r="AU80" s="136">
        <v>0</v>
      </c>
      <c r="AV80" s="136">
        <f t="shared" ref="AV80:AV82" si="53">$AN80*AU80</f>
        <v>0</v>
      </c>
      <c r="AW80" s="136">
        <v>0</v>
      </c>
      <c r="AX80" s="136">
        <f t="shared" ref="AX80:AX82" si="54">$AN80*AW80</f>
        <v>0</v>
      </c>
      <c r="AY80" s="136">
        <v>0</v>
      </c>
      <c r="AZ80" s="136">
        <f t="shared" ref="AZ80:AZ82" si="55">$AN80*AY80</f>
        <v>0</v>
      </c>
      <c r="BA80" s="136">
        <v>0</v>
      </c>
      <c r="BB80" s="136">
        <f t="shared" ref="BB80:BB82" si="56">$AN80*BA80</f>
        <v>0</v>
      </c>
      <c r="BC80" s="136">
        <v>0</v>
      </c>
      <c r="BD80" s="136">
        <f t="shared" ref="BD80:BD82" si="57">$AN80*BC80</f>
        <v>0</v>
      </c>
      <c r="BE80" s="136"/>
      <c r="BF80" s="136">
        <f t="shared" ref="BF80:BF82" si="58">$AN80*BE80</f>
        <v>0</v>
      </c>
      <c r="BG80" s="136">
        <v>0</v>
      </c>
      <c r="BH80" s="136">
        <f t="shared" ref="BH80:BH82" si="59">$AN80*BG80</f>
        <v>0</v>
      </c>
      <c r="BI80" s="88">
        <f t="shared" ref="BI80:BI82" si="60">AP80:AP80+AR80:AR80+AT80:AT80+AV80:AV80+AX80:AX80+AZ80:AZ80+BB80:BB80+BD80:BD80+BF80:BF80+BH80:BH80</f>
        <v>0</v>
      </c>
      <c r="BJ80" s="82" t="s">
        <v>201</v>
      </c>
      <c r="BK80" s="88">
        <v>1</v>
      </c>
      <c r="BL80" s="137"/>
      <c r="BM80" s="84"/>
      <c r="BN80" s="84"/>
      <c r="BO80" s="84"/>
      <c r="BP80" s="137"/>
      <c r="BQ80" s="84"/>
      <c r="BR80" s="84"/>
      <c r="BS80" s="84"/>
      <c r="BT80" s="138"/>
    </row>
    <row r="81" spans="1:72" ht="307.5" thickTop="1" thickBot="1">
      <c r="A81" s="106"/>
      <c r="B81" s="38">
        <v>75</v>
      </c>
      <c r="C81" s="139" t="s">
        <v>955</v>
      </c>
      <c r="D81" s="38" t="s">
        <v>956</v>
      </c>
      <c r="E81" s="39" t="s">
        <v>957</v>
      </c>
      <c r="F81" s="40">
        <v>45701</v>
      </c>
      <c r="G81" s="40">
        <v>45856</v>
      </c>
      <c r="H81" s="41" t="s">
        <v>958</v>
      </c>
      <c r="I81" s="42" t="s">
        <v>176</v>
      </c>
      <c r="J81" s="39" t="s">
        <v>177</v>
      </c>
      <c r="K81" s="38" t="s">
        <v>959</v>
      </c>
      <c r="L81" s="38" t="s">
        <v>960</v>
      </c>
      <c r="M81" s="43" t="s">
        <v>961</v>
      </c>
      <c r="N81" s="70" t="s">
        <v>956</v>
      </c>
      <c r="O81" s="38" t="s">
        <v>962</v>
      </c>
      <c r="P81" s="41"/>
      <c r="Q81" s="41"/>
      <c r="R81" s="38" t="s">
        <v>963</v>
      </c>
      <c r="S81" s="38"/>
      <c r="T81" s="73"/>
      <c r="U81" s="73"/>
      <c r="V81" s="73"/>
      <c r="W81" s="44"/>
      <c r="X81" s="113" t="s">
        <v>964</v>
      </c>
      <c r="Y81" s="73" t="s">
        <v>81</v>
      </c>
      <c r="Z81" s="73" t="s">
        <v>196</v>
      </c>
      <c r="AA81" s="73"/>
      <c r="AB81" s="74"/>
      <c r="AC81" s="73" t="s">
        <v>965</v>
      </c>
      <c r="AD81" s="74"/>
      <c r="AE81" s="114"/>
      <c r="AF81" s="74" t="s">
        <v>873</v>
      </c>
      <c r="AG81" s="73" t="s">
        <v>189</v>
      </c>
      <c r="AH81" s="74" t="s">
        <v>199</v>
      </c>
      <c r="AI81" s="116" t="s">
        <v>966</v>
      </c>
      <c r="AJ81" s="74"/>
      <c r="AK81" s="73" t="s">
        <v>189</v>
      </c>
      <c r="AL81" s="73"/>
      <c r="AM81" s="104" t="s">
        <v>967</v>
      </c>
      <c r="AN81" s="132"/>
      <c r="AO81" s="132"/>
      <c r="AP81" s="133">
        <f t="shared" si="40"/>
        <v>0</v>
      </c>
      <c r="AQ81" s="132"/>
      <c r="AR81" s="133">
        <f t="shared" si="51"/>
        <v>0</v>
      </c>
      <c r="AS81" s="132"/>
      <c r="AT81" s="133">
        <f t="shared" si="52"/>
        <v>0</v>
      </c>
      <c r="AU81" s="132"/>
      <c r="AV81" s="133">
        <f t="shared" si="53"/>
        <v>0</v>
      </c>
      <c r="AW81" s="132"/>
      <c r="AX81" s="133">
        <f t="shared" si="54"/>
        <v>0</v>
      </c>
      <c r="AY81" s="132"/>
      <c r="AZ81" s="133">
        <f t="shared" si="55"/>
        <v>0</v>
      </c>
      <c r="BA81" s="132"/>
      <c r="BB81" s="133">
        <f t="shared" si="56"/>
        <v>0</v>
      </c>
      <c r="BC81" s="132"/>
      <c r="BD81" s="133">
        <f t="shared" si="57"/>
        <v>0</v>
      </c>
      <c r="BE81" s="132"/>
      <c r="BF81" s="133">
        <f t="shared" si="58"/>
        <v>0</v>
      </c>
      <c r="BG81" s="132"/>
      <c r="BH81" s="133">
        <f t="shared" si="59"/>
        <v>0</v>
      </c>
      <c r="BI81" s="89">
        <f t="shared" si="60"/>
        <v>0</v>
      </c>
      <c r="BJ81" s="83" t="s">
        <v>201</v>
      </c>
      <c r="BK81" s="89"/>
      <c r="BL81" s="134"/>
      <c r="BM81" s="85"/>
      <c r="BN81" s="85"/>
      <c r="BO81" s="85"/>
      <c r="BP81" s="134"/>
      <c r="BQ81" s="85"/>
      <c r="BR81" s="85"/>
      <c r="BS81" s="85"/>
      <c r="BT81" s="135"/>
    </row>
    <row r="82" spans="1:72" ht="52.5" thickTop="1" thickBot="1">
      <c r="A82" s="106"/>
      <c r="B82" s="45">
        <v>76</v>
      </c>
      <c r="C82" s="140" t="s">
        <v>968</v>
      </c>
      <c r="D82" s="45" t="s">
        <v>969</v>
      </c>
      <c r="E82" s="46" t="s">
        <v>970</v>
      </c>
      <c r="F82" s="47">
        <v>45848</v>
      </c>
      <c r="G82" s="47"/>
      <c r="H82" s="48"/>
      <c r="I82" s="49" t="s">
        <v>176</v>
      </c>
      <c r="J82" s="46" t="s">
        <v>177</v>
      </c>
      <c r="K82" s="45" t="s">
        <v>332</v>
      </c>
      <c r="L82" s="45" t="s">
        <v>971</v>
      </c>
      <c r="M82" s="50"/>
      <c r="N82" s="71" t="s">
        <v>969</v>
      </c>
      <c r="O82" s="72" t="s">
        <v>972</v>
      </c>
      <c r="P82" s="48"/>
      <c r="Q82" s="48"/>
      <c r="R82" s="45"/>
      <c r="S82" s="45"/>
      <c r="T82" s="45"/>
      <c r="U82" s="45"/>
      <c r="V82" s="45" t="s">
        <v>67</v>
      </c>
      <c r="W82" s="51" t="s">
        <v>89</v>
      </c>
      <c r="X82" s="110" t="s">
        <v>973</v>
      </c>
      <c r="Y82" s="72" t="s">
        <v>80</v>
      </c>
      <c r="Z82" s="72" t="s">
        <v>189</v>
      </c>
      <c r="AA82" s="72" t="s">
        <v>199</v>
      </c>
      <c r="AB82" s="111" t="s">
        <v>199</v>
      </c>
      <c r="AC82" s="72" t="s">
        <v>974</v>
      </c>
      <c r="AD82" s="111" t="s">
        <v>975</v>
      </c>
      <c r="AE82" s="103" t="s">
        <v>976</v>
      </c>
      <c r="AF82" s="111" t="s">
        <v>977</v>
      </c>
      <c r="AG82" s="72" t="s">
        <v>189</v>
      </c>
      <c r="AH82" s="111" t="s">
        <v>977</v>
      </c>
      <c r="AI82" s="115" t="s">
        <v>978</v>
      </c>
      <c r="AJ82" s="111" t="s">
        <v>979</v>
      </c>
      <c r="AK82" s="72" t="s">
        <v>189</v>
      </c>
      <c r="AL82" s="72"/>
      <c r="AM82" s="112" t="s">
        <v>980</v>
      </c>
      <c r="AN82" s="136">
        <v>1</v>
      </c>
      <c r="AO82" s="136">
        <v>0</v>
      </c>
      <c r="AP82" s="136">
        <f t="shared" si="40"/>
        <v>0</v>
      </c>
      <c r="AQ82" s="136">
        <v>0</v>
      </c>
      <c r="AR82" s="136">
        <f t="shared" si="51"/>
        <v>0</v>
      </c>
      <c r="AS82" s="136">
        <v>2</v>
      </c>
      <c r="AT82" s="136">
        <f t="shared" si="52"/>
        <v>2</v>
      </c>
      <c r="AU82" s="136">
        <v>0</v>
      </c>
      <c r="AV82" s="136">
        <f t="shared" si="53"/>
        <v>0</v>
      </c>
      <c r="AW82" s="136">
        <v>0</v>
      </c>
      <c r="AX82" s="136">
        <f t="shared" si="54"/>
        <v>0</v>
      </c>
      <c r="AY82" s="136">
        <v>0</v>
      </c>
      <c r="AZ82" s="136">
        <f t="shared" si="55"/>
        <v>0</v>
      </c>
      <c r="BA82" s="136">
        <v>0</v>
      </c>
      <c r="BB82" s="136">
        <f t="shared" si="56"/>
        <v>0</v>
      </c>
      <c r="BC82" s="136">
        <v>2</v>
      </c>
      <c r="BD82" s="136">
        <f t="shared" si="57"/>
        <v>2</v>
      </c>
      <c r="BE82" s="136">
        <v>0</v>
      </c>
      <c r="BF82" s="136">
        <f t="shared" si="58"/>
        <v>0</v>
      </c>
      <c r="BG82" s="136">
        <v>0</v>
      </c>
      <c r="BH82" s="136">
        <f t="shared" si="59"/>
        <v>0</v>
      </c>
      <c r="BI82" s="88">
        <f t="shared" si="60"/>
        <v>4</v>
      </c>
      <c r="BJ82" s="82" t="s">
        <v>201</v>
      </c>
      <c r="BK82" s="88">
        <v>1</v>
      </c>
      <c r="BL82" s="137"/>
      <c r="BM82" s="84"/>
      <c r="BN82" s="84"/>
      <c r="BO82" s="84" t="s">
        <v>202</v>
      </c>
      <c r="BP82" s="137"/>
      <c r="BQ82" s="84"/>
      <c r="BR82" s="84" t="s">
        <v>202</v>
      </c>
      <c r="BS82" s="84"/>
      <c r="BT82" s="138"/>
    </row>
    <row r="83" spans="1:72" ht="116.25" thickTop="1" thickBot="1">
      <c r="A83" s="106"/>
      <c r="B83" s="38">
        <v>77</v>
      </c>
      <c r="C83" s="139" t="s">
        <v>203</v>
      </c>
      <c r="D83" s="38" t="s">
        <v>172</v>
      </c>
      <c r="E83" s="39" t="s">
        <v>981</v>
      </c>
      <c r="F83" s="40">
        <v>45855</v>
      </c>
      <c r="G83" s="40"/>
      <c r="H83" s="41"/>
      <c r="I83" s="42" t="s">
        <v>176</v>
      </c>
      <c r="J83" s="39" t="s">
        <v>177</v>
      </c>
      <c r="K83" s="38" t="s">
        <v>982</v>
      </c>
      <c r="L83" s="38" t="s">
        <v>561</v>
      </c>
      <c r="M83" s="43" t="s">
        <v>562</v>
      </c>
      <c r="N83" s="70" t="s">
        <v>563</v>
      </c>
      <c r="O83" s="38" t="s">
        <v>564</v>
      </c>
      <c r="P83" s="41"/>
      <c r="Q83" s="41"/>
      <c r="R83" s="38" t="s">
        <v>565</v>
      </c>
      <c r="S83" s="38" t="s">
        <v>184</v>
      </c>
      <c r="T83" s="73" t="s">
        <v>566</v>
      </c>
      <c r="U83" s="73" t="s">
        <v>567</v>
      </c>
      <c r="V83" s="73" t="s">
        <v>187</v>
      </c>
      <c r="W83" s="44" t="s">
        <v>89</v>
      </c>
      <c r="X83" s="113" t="s">
        <v>568</v>
      </c>
      <c r="Y83" s="73" t="s">
        <v>79</v>
      </c>
      <c r="Z83" s="73" t="s">
        <v>189</v>
      </c>
      <c r="AA83" s="73" t="s">
        <v>983</v>
      </c>
      <c r="AB83" s="74" t="s">
        <v>984</v>
      </c>
      <c r="AC83" s="73" t="s">
        <v>571</v>
      </c>
      <c r="AD83" s="74" t="s">
        <v>270</v>
      </c>
      <c r="AE83" s="114" t="s">
        <v>572</v>
      </c>
      <c r="AF83" s="74" t="s">
        <v>226</v>
      </c>
      <c r="AG83" s="73" t="s">
        <v>196</v>
      </c>
      <c r="AH83" s="74" t="s">
        <v>226</v>
      </c>
      <c r="AI83" s="116" t="s">
        <v>985</v>
      </c>
      <c r="AJ83" s="74" t="s">
        <v>199</v>
      </c>
      <c r="AK83" s="73" t="s">
        <v>189</v>
      </c>
      <c r="AL83" s="73" t="s">
        <v>199</v>
      </c>
      <c r="AM83" s="104"/>
      <c r="AN83" s="132">
        <f>SUM(AN4:AN76)</f>
        <v>71</v>
      </c>
      <c r="AO83" s="132"/>
      <c r="AP83" s="133">
        <f>SUM(AP4:AP76)</f>
        <v>0</v>
      </c>
      <c r="AQ83" s="132"/>
      <c r="AR83" s="133">
        <f>SUM(AR4:AR76)</f>
        <v>0</v>
      </c>
      <c r="AS83" s="132"/>
      <c r="AT83" s="133">
        <f>SUM(AT4:AT76)</f>
        <v>84</v>
      </c>
      <c r="AU83" s="132"/>
      <c r="AV83" s="133">
        <f>SUM(AV4:AV76)</f>
        <v>17</v>
      </c>
      <c r="AW83" s="132"/>
      <c r="AX83" s="133">
        <f>SUM(AX4:AX76)</f>
        <v>14</v>
      </c>
      <c r="AY83" s="132"/>
      <c r="AZ83" s="133">
        <f>SUM(AZ4:AZ76)</f>
        <v>0</v>
      </c>
      <c r="BA83" s="132"/>
      <c r="BB83" s="133">
        <f>SUM(BB4:BB76)</f>
        <v>0</v>
      </c>
      <c r="BC83" s="132"/>
      <c r="BD83" s="133">
        <f>SUM(BD4:BD76)</f>
        <v>28</v>
      </c>
      <c r="BE83" s="132"/>
      <c r="BF83" s="133">
        <f>SUM(BF4:BF76)</f>
        <v>0</v>
      </c>
      <c r="BG83" s="132"/>
      <c r="BH83" s="133">
        <f>SUM(BH4:BH76)</f>
        <v>0</v>
      </c>
      <c r="BI83" s="89"/>
      <c r="BJ83" s="83"/>
      <c r="BK83" s="89"/>
      <c r="BL83" s="134"/>
      <c r="BM83" s="85"/>
      <c r="BN83" s="85"/>
      <c r="BO83" s="85"/>
      <c r="BP83" s="134"/>
      <c r="BQ83" s="85"/>
      <c r="BR83" s="85"/>
      <c r="BS83" s="85"/>
      <c r="BT83" s="135"/>
    </row>
    <row r="84" spans="1:72" ht="141.75" thickTop="1" thickBot="1">
      <c r="A84" s="106"/>
      <c r="B84" s="45">
        <v>78</v>
      </c>
      <c r="C84" s="140" t="s">
        <v>203</v>
      </c>
      <c r="D84" s="45" t="s">
        <v>448</v>
      </c>
      <c r="E84" s="46" t="s">
        <v>449</v>
      </c>
      <c r="F84" s="47">
        <v>45855</v>
      </c>
      <c r="G84" s="47"/>
      <c r="H84" s="48" t="s">
        <v>986</v>
      </c>
      <c r="I84" s="49" t="s">
        <v>176</v>
      </c>
      <c r="J84" s="46" t="s">
        <v>177</v>
      </c>
      <c r="K84" s="45" t="s">
        <v>452</v>
      </c>
      <c r="L84" s="45" t="s">
        <v>987</v>
      </c>
      <c r="M84" s="50" t="s">
        <v>988</v>
      </c>
      <c r="N84" s="71" t="s">
        <v>455</v>
      </c>
      <c r="O84" s="72" t="s">
        <v>989</v>
      </c>
      <c r="P84" s="48"/>
      <c r="Q84" s="48"/>
      <c r="R84" s="45"/>
      <c r="S84" s="45"/>
      <c r="T84" s="45"/>
      <c r="U84" s="45" t="s">
        <v>990</v>
      </c>
      <c r="V84" s="45" t="s">
        <v>991</v>
      </c>
      <c r="W84" s="51" t="s">
        <v>89</v>
      </c>
      <c r="X84" s="110" t="s">
        <v>463</v>
      </c>
      <c r="Y84" s="72" t="s">
        <v>80</v>
      </c>
      <c r="Z84" s="72" t="s">
        <v>189</v>
      </c>
      <c r="AA84" s="72" t="s">
        <v>992</v>
      </c>
      <c r="AB84" s="111" t="s">
        <v>993</v>
      </c>
      <c r="AC84" s="72" t="s">
        <v>994</v>
      </c>
      <c r="AD84" s="111" t="s">
        <v>995</v>
      </c>
      <c r="AE84" s="103" t="s">
        <v>996</v>
      </c>
      <c r="AF84" s="111" t="s">
        <v>189</v>
      </c>
      <c r="AG84" s="72" t="s">
        <v>196</v>
      </c>
      <c r="AH84" s="111" t="s">
        <v>997</v>
      </c>
      <c r="AI84" s="115" t="s">
        <v>998</v>
      </c>
      <c r="AJ84" s="111" t="s">
        <v>471</v>
      </c>
      <c r="AK84" s="72" t="s">
        <v>189</v>
      </c>
      <c r="AL84" s="72" t="s">
        <v>199</v>
      </c>
      <c r="AM84" s="112" t="s">
        <v>999</v>
      </c>
      <c r="AN84" s="136">
        <f>SUM(AN5:AN77)</f>
        <v>71</v>
      </c>
      <c r="AO84" s="136"/>
      <c r="AP84" s="136">
        <f>SUM(AP5:AP77)</f>
        <v>0</v>
      </c>
      <c r="AQ84" s="136"/>
      <c r="AR84" s="136">
        <f>SUM(AR5:AR77)</f>
        <v>0</v>
      </c>
      <c r="AS84" s="136"/>
      <c r="AT84" s="136">
        <f>SUM(AT5:AT77)</f>
        <v>84</v>
      </c>
      <c r="AU84" s="136"/>
      <c r="AV84" s="136">
        <f>SUM(AV5:AV77)</f>
        <v>17</v>
      </c>
      <c r="AW84" s="136"/>
      <c r="AX84" s="136">
        <f>SUM(AX5:AX77)</f>
        <v>14</v>
      </c>
      <c r="AY84" s="136"/>
      <c r="AZ84" s="136">
        <f>SUM(AZ5:AZ77)</f>
        <v>0</v>
      </c>
      <c r="BA84" s="136"/>
      <c r="BB84" s="136">
        <f>SUM(BB5:BB77)</f>
        <v>0</v>
      </c>
      <c r="BC84" s="136"/>
      <c r="BD84" s="136">
        <f>SUM(BD5:BD77)</f>
        <v>28</v>
      </c>
      <c r="BE84" s="136"/>
      <c r="BF84" s="136">
        <f>SUM(BF5:BF77)</f>
        <v>0</v>
      </c>
      <c r="BG84" s="136"/>
      <c r="BH84" s="136">
        <f>SUM(BH5:BH77)</f>
        <v>0</v>
      </c>
      <c r="BI84" s="88"/>
      <c r="BJ84" s="82"/>
      <c r="BK84" s="88"/>
      <c r="BL84" s="137"/>
      <c r="BM84" s="84"/>
      <c r="BN84" s="84"/>
      <c r="BO84" s="84"/>
      <c r="BP84" s="137"/>
      <c r="BQ84" s="84"/>
      <c r="BR84" s="84"/>
      <c r="BS84" s="84"/>
      <c r="BT84" s="138"/>
    </row>
    <row r="85" spans="1:72" ht="116.25" thickTop="1" thickBot="1">
      <c r="A85" s="106"/>
      <c r="B85" s="38">
        <v>79</v>
      </c>
      <c r="C85" s="139" t="s">
        <v>217</v>
      </c>
      <c r="D85" s="38" t="s">
        <v>172</v>
      </c>
      <c r="E85" s="39" t="s">
        <v>981</v>
      </c>
      <c r="F85" s="40">
        <v>45856</v>
      </c>
      <c r="G85" s="40"/>
      <c r="H85" s="41"/>
      <c r="I85" s="42" t="s">
        <v>176</v>
      </c>
      <c r="J85" s="39" t="s">
        <v>177</v>
      </c>
      <c r="K85" s="38" t="s">
        <v>982</v>
      </c>
      <c r="L85" s="38" t="s">
        <v>561</v>
      </c>
      <c r="M85" s="43" t="s">
        <v>562</v>
      </c>
      <c r="N85" s="70" t="s">
        <v>563</v>
      </c>
      <c r="O85" s="38" t="s">
        <v>564</v>
      </c>
      <c r="P85" s="41"/>
      <c r="Q85" s="41"/>
      <c r="R85" s="38" t="s">
        <v>565</v>
      </c>
      <c r="S85" s="38" t="s">
        <v>184</v>
      </c>
      <c r="T85" s="73" t="s">
        <v>566</v>
      </c>
      <c r="U85" s="73" t="s">
        <v>567</v>
      </c>
      <c r="V85" s="73" t="s">
        <v>187</v>
      </c>
      <c r="W85" s="44" t="s">
        <v>89</v>
      </c>
      <c r="X85" s="113" t="s">
        <v>568</v>
      </c>
      <c r="Y85" s="73" t="s">
        <v>79</v>
      </c>
      <c r="Z85" s="73" t="s">
        <v>189</v>
      </c>
      <c r="AA85" s="73" t="s">
        <v>199</v>
      </c>
      <c r="AB85" s="74" t="s">
        <v>199</v>
      </c>
      <c r="AC85" s="73" t="s">
        <v>1000</v>
      </c>
      <c r="AD85" s="74" t="s">
        <v>270</v>
      </c>
      <c r="AE85" s="114" t="s">
        <v>423</v>
      </c>
      <c r="AF85" s="74" t="s">
        <v>189</v>
      </c>
      <c r="AG85" s="73" t="s">
        <v>196</v>
      </c>
      <c r="AH85" s="74" t="s">
        <v>605</v>
      </c>
      <c r="AI85" s="116" t="s">
        <v>985</v>
      </c>
      <c r="AJ85" s="74" t="s">
        <v>199</v>
      </c>
      <c r="AK85" s="73" t="s">
        <v>189</v>
      </c>
      <c r="AL85" s="73" t="s">
        <v>199</v>
      </c>
      <c r="AM85" s="104" t="s">
        <v>1001</v>
      </c>
      <c r="AN85" s="132">
        <f>SUM(AN6:AN78)</f>
        <v>71</v>
      </c>
      <c r="AO85" s="132"/>
      <c r="AP85" s="133">
        <f>SUM(AP6:AP78)</f>
        <v>0</v>
      </c>
      <c r="AQ85" s="132"/>
      <c r="AR85" s="133">
        <f>SUM(AR6:AR78)</f>
        <v>0</v>
      </c>
      <c r="AS85" s="132"/>
      <c r="AT85" s="133">
        <f>SUM(AT6:AT78)</f>
        <v>84</v>
      </c>
      <c r="AU85" s="132"/>
      <c r="AV85" s="133">
        <f>SUM(AV6:AV78)</f>
        <v>17</v>
      </c>
      <c r="AW85" s="132"/>
      <c r="AX85" s="133">
        <f>SUM(AX6:AX78)</f>
        <v>14</v>
      </c>
      <c r="AY85" s="132"/>
      <c r="AZ85" s="133">
        <f>SUM(AZ6:AZ78)</f>
        <v>0</v>
      </c>
      <c r="BA85" s="132"/>
      <c r="BB85" s="133">
        <f>SUM(BB6:BB78)</f>
        <v>0</v>
      </c>
      <c r="BC85" s="132"/>
      <c r="BD85" s="133">
        <f>SUM(BD6:BD78)</f>
        <v>28</v>
      </c>
      <c r="BE85" s="132"/>
      <c r="BF85" s="133">
        <f>SUM(BF6:BF78)</f>
        <v>0</v>
      </c>
      <c r="BG85" s="132"/>
      <c r="BH85" s="133">
        <f>SUM(BH6:BH78)</f>
        <v>0</v>
      </c>
      <c r="BI85" s="89"/>
      <c r="BJ85" s="83"/>
      <c r="BK85" s="89"/>
      <c r="BL85" s="134"/>
      <c r="BM85" s="85"/>
      <c r="BN85" s="85"/>
      <c r="BO85" s="85"/>
      <c r="BP85" s="134"/>
      <c r="BQ85" s="85"/>
      <c r="BR85" s="85"/>
      <c r="BS85" s="85"/>
      <c r="BT85" s="135"/>
    </row>
    <row r="86" spans="1:72" ht="65.25" thickTop="1" thickBot="1">
      <c r="A86" s="106"/>
      <c r="B86" s="45" t="s">
        <v>1002</v>
      </c>
      <c r="C86" s="140" t="s">
        <v>278</v>
      </c>
      <c r="D86" s="45" t="s">
        <v>827</v>
      </c>
      <c r="E86" s="46" t="s">
        <v>1003</v>
      </c>
      <c r="F86" s="47">
        <v>45888</v>
      </c>
      <c r="G86" s="47"/>
      <c r="H86" s="48"/>
      <c r="I86" s="49" t="s">
        <v>176</v>
      </c>
      <c r="J86" s="46" t="s">
        <v>177</v>
      </c>
      <c r="K86" s="45" t="s">
        <v>829</v>
      </c>
      <c r="L86" s="45" t="s">
        <v>1004</v>
      </c>
      <c r="M86" s="50" t="s">
        <v>1005</v>
      </c>
      <c r="N86" s="71" t="s">
        <v>455</v>
      </c>
      <c r="O86" s="72" t="s">
        <v>1006</v>
      </c>
      <c r="P86" s="48"/>
      <c r="Q86" s="48"/>
      <c r="R86" s="45"/>
      <c r="S86" s="45"/>
      <c r="T86" s="45"/>
      <c r="U86" s="45"/>
      <c r="V86" s="45" t="s">
        <v>67</v>
      </c>
      <c r="W86" s="51" t="s">
        <v>95</v>
      </c>
      <c r="X86" s="110" t="s">
        <v>1007</v>
      </c>
      <c r="Y86" s="72" t="s">
        <v>84</v>
      </c>
      <c r="Z86" s="72" t="s">
        <v>189</v>
      </c>
      <c r="AA86" s="72" t="s">
        <v>199</v>
      </c>
      <c r="AB86" s="111" t="s">
        <v>199</v>
      </c>
      <c r="AC86" s="72" t="s">
        <v>1008</v>
      </c>
      <c r="AD86" s="111" t="s">
        <v>1009</v>
      </c>
      <c r="AE86" s="103" t="s">
        <v>1008</v>
      </c>
      <c r="AF86" s="111" t="s">
        <v>189</v>
      </c>
      <c r="AG86" s="72" t="s">
        <v>196</v>
      </c>
      <c r="AH86" s="111" t="s">
        <v>424</v>
      </c>
      <c r="AI86" s="115" t="s">
        <v>1010</v>
      </c>
      <c r="AJ86" s="111" t="s">
        <v>844</v>
      </c>
      <c r="AK86" s="72" t="s">
        <v>196</v>
      </c>
      <c r="AL86" s="72" t="s">
        <v>1011</v>
      </c>
      <c r="AM86" s="112" t="s">
        <v>1012</v>
      </c>
      <c r="AN86" s="136"/>
      <c r="AO86" s="136">
        <v>0</v>
      </c>
      <c r="AP86" s="136">
        <f t="shared" ref="AP86" si="61">$AN86*AO86</f>
        <v>0</v>
      </c>
      <c r="AQ86" s="136">
        <v>0</v>
      </c>
      <c r="AR86" s="136">
        <f t="shared" ref="AR86" si="62">$AN86*AQ86</f>
        <v>0</v>
      </c>
      <c r="AS86" s="136"/>
      <c r="AT86" s="136">
        <f t="shared" ref="AT86" si="63">$AN86*AS86</f>
        <v>0</v>
      </c>
      <c r="AU86" s="136"/>
      <c r="AV86" s="136">
        <f t="shared" ref="AV86" si="64">$AN86*AU86</f>
        <v>0</v>
      </c>
      <c r="AW86" s="136">
        <v>0</v>
      </c>
      <c r="AX86" s="136">
        <f t="shared" ref="AX86" si="65">$AN86*AW86</f>
        <v>0</v>
      </c>
      <c r="AY86" s="136">
        <v>0</v>
      </c>
      <c r="AZ86" s="136">
        <f t="shared" ref="AZ86" si="66">$AN86*AY86</f>
        <v>0</v>
      </c>
      <c r="BA86" s="136">
        <v>0</v>
      </c>
      <c r="BB86" s="136">
        <f t="shared" ref="BB86" si="67">$AN86*BA86</f>
        <v>0</v>
      </c>
      <c r="BC86" s="136"/>
      <c r="BD86" s="136">
        <f t="shared" ref="BD86" si="68">$AN86*BC86</f>
        <v>0</v>
      </c>
      <c r="BE86" s="136">
        <v>0</v>
      </c>
      <c r="BF86" s="136">
        <f t="shared" ref="BF86" si="69">$AN86*BE86</f>
        <v>0</v>
      </c>
      <c r="BG86" s="136">
        <v>0</v>
      </c>
      <c r="BH86" s="136">
        <f t="shared" ref="BH86" si="70">$AN86*BG86</f>
        <v>0</v>
      </c>
      <c r="BI86" s="88">
        <f t="shared" ref="BI86" si="71">AP86:AP86+AR86:AR86+AT86:AT86+AV86:AV86+AX86:AX86+AZ86:AZ86+BB86:BB86+BD86:BD86+BF86:BF86+BH86:BH86</f>
        <v>0</v>
      </c>
      <c r="BJ86" s="82" t="s">
        <v>201</v>
      </c>
      <c r="BK86" s="88">
        <v>1</v>
      </c>
      <c r="BL86" s="137"/>
      <c r="BM86" s="84"/>
      <c r="BN86" s="84"/>
      <c r="BO86" s="84" t="s">
        <v>202</v>
      </c>
      <c r="BP86" s="137"/>
      <c r="BQ86" s="84"/>
      <c r="BR86" s="84" t="s">
        <v>202</v>
      </c>
      <c r="BS86" s="84"/>
      <c r="BT86" s="138"/>
    </row>
    <row r="87" spans="1:72" ht="13.5" thickTop="1">
      <c r="A87" s="106"/>
      <c r="B87" s="38" t="s">
        <v>1013</v>
      </c>
      <c r="C87" s="73"/>
      <c r="D87" s="38"/>
      <c r="E87" s="39"/>
      <c r="F87" s="40"/>
      <c r="G87" s="40"/>
      <c r="H87" s="41"/>
      <c r="I87" s="42"/>
      <c r="J87" s="39"/>
      <c r="K87" s="38"/>
      <c r="L87" s="38"/>
      <c r="M87" s="43"/>
      <c r="N87" s="70"/>
      <c r="O87" s="38"/>
      <c r="P87" s="41"/>
      <c r="Q87" s="41"/>
      <c r="R87" s="38"/>
      <c r="S87" s="38"/>
      <c r="T87" s="73"/>
      <c r="U87" s="73"/>
      <c r="V87" s="73"/>
      <c r="W87" s="44"/>
      <c r="X87" s="113"/>
      <c r="Y87" s="73"/>
      <c r="Z87" s="73"/>
      <c r="AA87" s="73"/>
      <c r="AB87" s="74"/>
      <c r="AC87" s="73"/>
      <c r="AD87" s="74"/>
      <c r="AE87" s="114"/>
      <c r="AF87" s="74"/>
      <c r="AG87" s="73"/>
      <c r="AH87" s="74"/>
      <c r="AI87" s="116"/>
      <c r="AJ87" s="74"/>
      <c r="AK87" s="73"/>
      <c r="AL87" s="73"/>
      <c r="AM87" s="104"/>
      <c r="AN87" s="132">
        <f>SUM(AN7:AN79)</f>
        <v>71</v>
      </c>
      <c r="AO87" s="132"/>
      <c r="AP87" s="133">
        <f>SUM(AP7:AP79)</f>
        <v>0</v>
      </c>
      <c r="AQ87" s="132"/>
      <c r="AR87" s="133">
        <f>SUM(AR7:AR79)</f>
        <v>0</v>
      </c>
      <c r="AS87" s="132"/>
      <c r="AT87" s="133">
        <f>SUM(AT7:AT79)</f>
        <v>84</v>
      </c>
      <c r="AU87" s="132"/>
      <c r="AV87" s="133">
        <f>SUM(AV7:AV79)</f>
        <v>17</v>
      </c>
      <c r="AW87" s="132"/>
      <c r="AX87" s="133">
        <f>SUM(AX7:AX79)</f>
        <v>14</v>
      </c>
      <c r="AY87" s="132"/>
      <c r="AZ87" s="133">
        <f>SUM(AZ7:AZ79)</f>
        <v>0</v>
      </c>
      <c r="BA87" s="132"/>
      <c r="BB87" s="133">
        <f>SUM(BB7:BB79)</f>
        <v>0</v>
      </c>
      <c r="BC87" s="132"/>
      <c r="BD87" s="133">
        <f>SUM(BD7:BD79)</f>
        <v>28</v>
      </c>
      <c r="BE87" s="132"/>
      <c r="BF87" s="133">
        <f>SUM(BF7:BF79)</f>
        <v>0</v>
      </c>
      <c r="BG87" s="132"/>
      <c r="BH87" s="133">
        <f>SUM(BH7:BH79)</f>
        <v>0</v>
      </c>
      <c r="BI87" s="89"/>
      <c r="BJ87" s="83"/>
      <c r="BK87" s="89"/>
      <c r="BL87" s="134"/>
      <c r="BM87" s="85"/>
      <c r="BN87" s="85"/>
      <c r="BO87" s="85"/>
      <c r="BP87" s="134"/>
      <c r="BQ87" s="85"/>
      <c r="BR87" s="85"/>
      <c r="BS87" s="85"/>
      <c r="BT87" s="135"/>
    </row>
    <row r="88" spans="1:72">
      <c r="A88" s="106"/>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125"/>
      <c r="AG88" s="3"/>
      <c r="AH88" s="3"/>
      <c r="AI88" s="3"/>
      <c r="AJ88" s="3"/>
      <c r="AK88" s="3"/>
      <c r="AL88" s="3"/>
      <c r="AM88" s="3"/>
      <c r="AN88" s="3"/>
      <c r="AO88" s="31"/>
      <c r="AP88" s="3"/>
      <c r="AQ88" s="31"/>
      <c r="AR88" s="3"/>
      <c r="AS88" s="31"/>
      <c r="AT88" s="3"/>
      <c r="AU88" s="31"/>
      <c r="AV88" s="3"/>
      <c r="AW88" s="31"/>
      <c r="AX88" s="31"/>
      <c r="AY88" s="31"/>
      <c r="AZ88" s="31"/>
      <c r="BA88" s="31"/>
      <c r="BB88" s="3"/>
      <c r="BC88" s="31"/>
      <c r="BD88" s="3"/>
      <c r="BE88" s="31"/>
      <c r="BF88" s="3"/>
      <c r="BG88" s="31"/>
      <c r="BH88" s="3"/>
      <c r="BI88" s="31"/>
      <c r="BJ88" s="31"/>
      <c r="BK88" s="31"/>
      <c r="BL88" s="3"/>
      <c r="BM88" s="3"/>
      <c r="BN88" s="3"/>
      <c r="BO88" s="3"/>
      <c r="BP88" s="3"/>
      <c r="BQ88" s="3"/>
      <c r="BR88" s="3"/>
      <c r="BS88" s="3"/>
      <c r="BT88" s="32"/>
    </row>
    <row r="89" spans="1:72">
      <c r="A89" s="106"/>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125"/>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2"/>
    </row>
    <row r="90" spans="1:72">
      <c r="A90" s="106"/>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125"/>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2"/>
    </row>
    <row r="91" spans="1:72">
      <c r="A91" s="106"/>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125"/>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2"/>
    </row>
    <row r="92" spans="1:72">
      <c r="A92" s="106"/>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125"/>
      <c r="AG92" s="3"/>
      <c r="AH92" s="3"/>
      <c r="AI92" s="3"/>
      <c r="AJ92" s="3"/>
      <c r="AK92" s="3"/>
      <c r="AL92" s="3"/>
      <c r="AM92" s="3"/>
      <c r="AN92" s="3"/>
      <c r="AO92" s="31"/>
      <c r="AP92" s="3"/>
      <c r="AQ92" s="31"/>
      <c r="AR92" s="3"/>
      <c r="AS92" s="31"/>
      <c r="AT92" s="3"/>
      <c r="AU92" s="31"/>
      <c r="AV92" s="3"/>
      <c r="AW92" s="31"/>
      <c r="AX92" s="31"/>
      <c r="AY92" s="31"/>
      <c r="AZ92" s="31"/>
      <c r="BA92" s="31"/>
      <c r="BB92" s="3"/>
      <c r="BC92" s="31"/>
      <c r="BD92" s="3"/>
      <c r="BE92" s="31"/>
      <c r="BF92" s="3"/>
      <c r="BG92" s="31"/>
      <c r="BH92" s="3"/>
      <c r="BI92" s="31"/>
      <c r="BJ92" s="31"/>
      <c r="BK92" s="31"/>
      <c r="BL92" s="3"/>
      <c r="BM92" s="3"/>
      <c r="BN92" s="3"/>
      <c r="BO92" s="3"/>
      <c r="BP92" s="3"/>
      <c r="BQ92" s="3"/>
      <c r="BR92" s="3"/>
      <c r="BS92" s="3"/>
      <c r="BT92" s="32"/>
    </row>
    <row r="93" spans="1:72">
      <c r="A93" s="106"/>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125"/>
      <c r="AG93" s="3"/>
      <c r="AH93" s="3"/>
      <c r="AI93" s="3"/>
      <c r="AJ93" s="3"/>
      <c r="AK93" s="3"/>
      <c r="AL93" s="3"/>
      <c r="AM93" s="3"/>
      <c r="AN93" s="3"/>
      <c r="AO93" s="31"/>
      <c r="AP93" s="3"/>
      <c r="AQ93" s="31"/>
      <c r="AR93" s="3"/>
      <c r="AS93" s="31"/>
      <c r="AT93" s="3"/>
      <c r="AU93" s="31"/>
      <c r="AV93" s="3"/>
      <c r="AW93" s="31"/>
      <c r="AX93" s="31"/>
      <c r="AY93" s="31"/>
      <c r="AZ93" s="31"/>
      <c r="BA93" s="31"/>
      <c r="BB93" s="3"/>
      <c r="BC93" s="31"/>
      <c r="BD93" s="3"/>
      <c r="BE93" s="31"/>
      <c r="BF93" s="3"/>
      <c r="BG93" s="31"/>
      <c r="BH93" s="3"/>
      <c r="BI93" s="31"/>
      <c r="BJ93" s="31"/>
      <c r="BK93" s="31"/>
      <c r="BL93" s="3"/>
      <c r="BM93" s="3"/>
      <c r="BN93" s="3"/>
      <c r="BO93" s="3"/>
      <c r="BP93" s="3"/>
      <c r="BQ93" s="3"/>
      <c r="BR93" s="3"/>
      <c r="BS93" s="3"/>
      <c r="BT93" s="32"/>
    </row>
    <row r="94" spans="1:72">
      <c r="A94" s="106"/>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125"/>
      <c r="AG94" s="3"/>
      <c r="AH94" s="3"/>
      <c r="AI94" s="3"/>
      <c r="AJ94" s="3"/>
      <c r="AK94" s="3"/>
      <c r="AL94" s="3"/>
      <c r="AM94" s="3"/>
      <c r="AN94" s="3"/>
      <c r="AO94" s="31"/>
      <c r="AP94" s="3"/>
      <c r="AQ94" s="31"/>
      <c r="AR94" s="3"/>
      <c r="AS94" s="31"/>
      <c r="AT94" s="3"/>
      <c r="AU94" s="31"/>
      <c r="AV94" s="3"/>
      <c r="AW94" s="31"/>
      <c r="AX94" s="31"/>
      <c r="AY94" s="31"/>
      <c r="AZ94" s="31"/>
      <c r="BA94" s="31"/>
      <c r="BB94" s="3"/>
      <c r="BC94" s="31"/>
      <c r="BD94" s="3"/>
      <c r="BE94" s="31"/>
      <c r="BF94" s="3"/>
      <c r="BG94" s="31"/>
      <c r="BH94" s="3"/>
      <c r="BI94" s="31"/>
      <c r="BJ94" s="31"/>
      <c r="BK94" s="31"/>
      <c r="BL94" s="3"/>
      <c r="BM94" s="3"/>
      <c r="BN94" s="3"/>
      <c r="BO94" s="3"/>
      <c r="BP94" s="3"/>
      <c r="BQ94" s="3"/>
      <c r="BR94" s="3"/>
      <c r="BS94" s="3"/>
      <c r="BT94" s="32"/>
    </row>
    <row r="95" spans="1:72">
      <c r="A95" s="106"/>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125"/>
      <c r="AG95" s="3"/>
      <c r="AH95" s="3"/>
      <c r="AI95" s="3"/>
      <c r="AJ95" s="3"/>
      <c r="AK95" s="3"/>
      <c r="AL95" s="3"/>
      <c r="AM95" s="3"/>
      <c r="AN95" s="3"/>
      <c r="AO95" s="31"/>
      <c r="AP95" s="3"/>
      <c r="AQ95" s="31"/>
      <c r="AR95" s="3"/>
      <c r="AS95" s="31"/>
      <c r="AT95" s="3"/>
      <c r="AU95" s="31"/>
      <c r="AV95" s="3"/>
      <c r="AW95" s="31"/>
      <c r="AX95" s="31"/>
      <c r="AY95" s="31"/>
      <c r="AZ95" s="31"/>
      <c r="BA95" s="31"/>
      <c r="BB95" s="3"/>
      <c r="BC95" s="31"/>
      <c r="BD95" s="3"/>
      <c r="BE95" s="31"/>
      <c r="BF95" s="3"/>
      <c r="BG95" s="31"/>
      <c r="BH95" s="3"/>
      <c r="BI95" s="31"/>
      <c r="BJ95" s="31"/>
      <c r="BK95" s="31"/>
      <c r="BL95" s="3"/>
      <c r="BM95" s="3"/>
      <c r="BN95" s="3"/>
      <c r="BO95" s="3"/>
      <c r="BP95" s="3"/>
      <c r="BQ95" s="3"/>
      <c r="BR95" s="3"/>
      <c r="BS95" s="3"/>
      <c r="BT95" s="32"/>
    </row>
    <row r="96" spans="1:72">
      <c r="A96" s="10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125"/>
      <c r="AG96" s="3"/>
      <c r="AH96" s="3"/>
      <c r="AI96" s="3"/>
      <c r="AJ96" s="3"/>
      <c r="AK96" s="3"/>
      <c r="AL96" s="3"/>
      <c r="AM96" s="3"/>
      <c r="AN96" s="3"/>
      <c r="AO96" s="31"/>
      <c r="AP96" s="3"/>
      <c r="AQ96" s="31"/>
      <c r="AR96" s="3"/>
      <c r="AS96" s="31"/>
      <c r="AT96" s="3"/>
      <c r="AU96" s="31"/>
      <c r="AV96" s="3"/>
      <c r="AW96" s="31"/>
      <c r="AX96" s="31"/>
      <c r="AY96" s="31"/>
      <c r="AZ96" s="31"/>
      <c r="BA96" s="31"/>
      <c r="BB96" s="3"/>
      <c r="BC96" s="31"/>
      <c r="BD96" s="3"/>
      <c r="BE96" s="31"/>
      <c r="BF96" s="3"/>
      <c r="BG96" s="31"/>
      <c r="BH96" s="3"/>
      <c r="BI96" s="31"/>
      <c r="BJ96" s="31"/>
      <c r="BK96" s="31"/>
      <c r="BL96" s="3"/>
      <c r="BM96" s="3"/>
      <c r="BN96" s="3"/>
      <c r="BO96" s="3"/>
      <c r="BP96" s="3"/>
      <c r="BQ96" s="3"/>
      <c r="BR96" s="3"/>
      <c r="BS96" s="3"/>
      <c r="BT96" s="32"/>
    </row>
    <row r="97" spans="1:72">
      <c r="A97" s="106"/>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125"/>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2"/>
    </row>
    <row r="98" spans="1:72">
      <c r="A98" s="106"/>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125"/>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2"/>
    </row>
    <row r="99" spans="1:72">
      <c r="A99" s="106"/>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125"/>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2"/>
    </row>
    <row r="100" spans="1:72">
      <c r="A100" s="106"/>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125"/>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2"/>
    </row>
    <row r="101" spans="1:72">
      <c r="A101" s="106"/>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125"/>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2"/>
    </row>
    <row r="102" spans="1:72">
      <c r="A102" s="106"/>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125"/>
      <c r="AG102" s="3"/>
      <c r="AH102" s="3"/>
      <c r="AI102" s="3"/>
      <c r="AJ102" s="3"/>
      <c r="AK102" s="3"/>
      <c r="AL102" s="3"/>
      <c r="AM102" s="3"/>
      <c r="AN102" s="3"/>
      <c r="AO102" s="31"/>
      <c r="AP102" s="3"/>
      <c r="AQ102" s="31"/>
      <c r="AR102" s="3"/>
      <c r="AS102" s="31"/>
      <c r="AT102" s="3"/>
      <c r="AU102" s="31"/>
      <c r="AV102" s="3"/>
      <c r="AW102" s="31"/>
      <c r="AX102" s="31"/>
      <c r="AY102" s="31"/>
      <c r="AZ102" s="31"/>
      <c r="BA102" s="31"/>
      <c r="BB102" s="3"/>
      <c r="BC102" s="31"/>
      <c r="BD102" s="3"/>
      <c r="BE102" s="31"/>
      <c r="BF102" s="3"/>
      <c r="BG102" s="31"/>
      <c r="BH102" s="3"/>
      <c r="BI102" s="31"/>
      <c r="BJ102" s="31"/>
      <c r="BK102" s="31"/>
      <c r="BL102" s="3"/>
      <c r="BM102" s="3"/>
      <c r="BN102" s="3"/>
      <c r="BO102" s="3"/>
      <c r="BP102" s="3"/>
      <c r="BQ102" s="3"/>
      <c r="BR102" s="3"/>
      <c r="BS102" s="3"/>
      <c r="BT102" s="32"/>
    </row>
    <row r="103" spans="1:72">
      <c r="A103" s="106"/>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125"/>
      <c r="AG103" s="3"/>
      <c r="AH103" s="3"/>
      <c r="AI103" s="3"/>
      <c r="AJ103" s="3"/>
      <c r="AK103" s="3"/>
      <c r="AL103" s="3"/>
      <c r="AM103" s="3"/>
      <c r="AN103" s="3"/>
      <c r="AO103" s="31"/>
      <c r="AP103" s="3"/>
      <c r="AQ103" s="31"/>
      <c r="AR103" s="3"/>
      <c r="AS103" s="31"/>
      <c r="AT103" s="3"/>
      <c r="AU103" s="31"/>
      <c r="AV103" s="3"/>
      <c r="AW103" s="31"/>
      <c r="AX103" s="31"/>
      <c r="AY103" s="31"/>
      <c r="AZ103" s="31"/>
      <c r="BA103" s="31"/>
      <c r="BB103" s="3"/>
      <c r="BC103" s="31"/>
      <c r="BD103" s="3"/>
      <c r="BE103" s="31"/>
      <c r="BF103" s="3"/>
      <c r="BG103" s="31"/>
      <c r="BH103" s="3"/>
      <c r="BI103" s="31"/>
      <c r="BJ103" s="31"/>
      <c r="BK103" s="31"/>
      <c r="BL103" s="3"/>
      <c r="BM103" s="3"/>
      <c r="BN103" s="3"/>
      <c r="BO103" s="3"/>
      <c r="BP103" s="3"/>
      <c r="BQ103" s="3"/>
      <c r="BR103" s="3"/>
      <c r="BS103" s="3"/>
      <c r="BT103" s="32"/>
    </row>
    <row r="104" spans="1:72">
      <c r="A104" s="106"/>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125"/>
      <c r="AG104" s="3"/>
      <c r="AH104" s="3"/>
      <c r="AI104" s="3"/>
      <c r="AJ104" s="3"/>
      <c r="AK104" s="3"/>
      <c r="AL104" s="3"/>
      <c r="AM104" s="3"/>
      <c r="AN104" s="3"/>
      <c r="AO104" s="31"/>
      <c r="AP104" s="3"/>
      <c r="AQ104" s="31"/>
      <c r="AR104" s="3"/>
      <c r="AS104" s="31"/>
      <c r="AT104" s="3"/>
      <c r="AU104" s="31"/>
      <c r="AV104" s="3"/>
      <c r="AW104" s="31"/>
      <c r="AX104" s="31"/>
      <c r="AY104" s="31"/>
      <c r="AZ104" s="31"/>
      <c r="BA104" s="31"/>
      <c r="BB104" s="3"/>
      <c r="BC104" s="31"/>
      <c r="BD104" s="3"/>
      <c r="BE104" s="31"/>
      <c r="BF104" s="3"/>
      <c r="BG104" s="31"/>
      <c r="BH104" s="3"/>
      <c r="BI104" s="31"/>
      <c r="BJ104" s="31"/>
      <c r="BK104" s="31"/>
      <c r="BL104" s="3"/>
      <c r="BM104" s="3"/>
      <c r="BN104" s="3"/>
      <c r="BO104" s="3"/>
      <c r="BP104" s="3"/>
      <c r="BQ104" s="3"/>
      <c r="BR104" s="3"/>
      <c r="BS104" s="3"/>
      <c r="BT104" s="32"/>
    </row>
    <row r="105" spans="1:72">
      <c r="A105" s="106"/>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125"/>
      <c r="AG105" s="3"/>
      <c r="AH105" s="3"/>
      <c r="AI105" s="3"/>
      <c r="AJ105" s="3"/>
      <c r="AK105" s="3"/>
      <c r="AL105" s="3"/>
      <c r="AM105" s="3"/>
      <c r="AN105" s="3"/>
      <c r="AO105" s="31"/>
      <c r="AP105" s="3"/>
      <c r="AQ105" s="31"/>
      <c r="AR105" s="3"/>
      <c r="AS105" s="31"/>
      <c r="AT105" s="3"/>
      <c r="AU105" s="31"/>
      <c r="AV105" s="3"/>
      <c r="AW105" s="31"/>
      <c r="AX105" s="31"/>
      <c r="AY105" s="31"/>
      <c r="AZ105" s="31"/>
      <c r="BA105" s="31"/>
      <c r="BB105" s="3"/>
      <c r="BC105" s="31"/>
      <c r="BD105" s="3"/>
      <c r="BE105" s="31"/>
      <c r="BF105" s="3"/>
      <c r="BG105" s="31"/>
      <c r="BH105" s="3"/>
      <c r="BI105" s="31"/>
      <c r="BJ105" s="31"/>
      <c r="BK105" s="31"/>
      <c r="BL105" s="3"/>
      <c r="BM105" s="3"/>
      <c r="BN105" s="3"/>
      <c r="BO105" s="3"/>
      <c r="BP105" s="3"/>
      <c r="BQ105" s="3"/>
      <c r="BR105" s="3"/>
      <c r="BS105" s="3"/>
      <c r="BT105" s="32"/>
    </row>
    <row r="106" spans="1:72">
      <c r="A106" s="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125"/>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2"/>
    </row>
    <row r="107" spans="1:72">
      <c r="A107" s="106"/>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125"/>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2"/>
    </row>
    <row r="108" spans="1:72">
      <c r="A108" s="106"/>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125"/>
      <c r="AG108" s="3"/>
      <c r="AH108" s="3"/>
      <c r="AI108" s="3"/>
      <c r="AJ108" s="3"/>
      <c r="AK108" s="3"/>
      <c r="AL108" s="3"/>
      <c r="AM108" s="3"/>
      <c r="AN108" s="3"/>
      <c r="AO108" s="31"/>
      <c r="AP108" s="3"/>
      <c r="AQ108" s="31"/>
      <c r="AR108" s="3"/>
      <c r="AS108" s="31"/>
      <c r="AT108" s="3"/>
      <c r="AU108" s="31"/>
      <c r="AV108" s="3"/>
      <c r="AW108" s="31"/>
      <c r="AX108" s="31"/>
      <c r="AY108" s="31"/>
      <c r="AZ108" s="31"/>
      <c r="BA108" s="31"/>
      <c r="BB108" s="3"/>
      <c r="BC108" s="31"/>
      <c r="BD108" s="3"/>
      <c r="BE108" s="31"/>
      <c r="BF108" s="3"/>
      <c r="BG108" s="31"/>
      <c r="BH108" s="3"/>
      <c r="BI108" s="31"/>
      <c r="BJ108" s="31"/>
      <c r="BK108" s="31"/>
      <c r="BL108" s="3"/>
      <c r="BM108" s="3"/>
      <c r="BN108" s="3"/>
      <c r="BO108" s="3"/>
      <c r="BP108" s="3"/>
      <c r="BQ108" s="3"/>
      <c r="BR108" s="3"/>
      <c r="BS108" s="3"/>
      <c r="BT108" s="32"/>
    </row>
    <row r="109" spans="1:72">
      <c r="A109" s="106"/>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125"/>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2"/>
    </row>
    <row r="110" spans="1:72">
      <c r="A110" s="106"/>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125"/>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2"/>
    </row>
    <row r="111" spans="1:72">
      <c r="A111" s="106"/>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125"/>
      <c r="AG111" s="3"/>
      <c r="AH111" s="3"/>
      <c r="AI111" s="3"/>
      <c r="AJ111" s="3"/>
      <c r="AK111" s="3"/>
      <c r="AL111" s="3"/>
      <c r="AM111" s="3"/>
      <c r="AN111" s="3"/>
      <c r="AO111" s="31"/>
      <c r="AP111" s="3"/>
      <c r="AQ111" s="31"/>
      <c r="AR111" s="3"/>
      <c r="AS111" s="31"/>
      <c r="AT111" s="3"/>
      <c r="AU111" s="31"/>
      <c r="AV111" s="3"/>
      <c r="AW111" s="31"/>
      <c r="AX111" s="31"/>
      <c r="AY111" s="31"/>
      <c r="AZ111" s="31"/>
      <c r="BA111" s="31"/>
      <c r="BB111" s="3"/>
      <c r="BC111" s="31"/>
      <c r="BD111" s="3"/>
      <c r="BE111" s="31"/>
      <c r="BF111" s="3"/>
      <c r="BG111" s="31"/>
      <c r="BH111" s="3"/>
      <c r="BI111" s="31"/>
      <c r="BJ111" s="31"/>
      <c r="BK111" s="31"/>
      <c r="BL111" s="3"/>
      <c r="BM111" s="3"/>
      <c r="BN111" s="3"/>
      <c r="BO111" s="3"/>
      <c r="BP111" s="3"/>
      <c r="BQ111" s="3"/>
      <c r="BR111" s="3"/>
      <c r="BS111" s="3"/>
      <c r="BT111" s="32"/>
    </row>
    <row r="112" spans="1:72">
      <c r="A112" s="106"/>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125"/>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2"/>
    </row>
    <row r="113" spans="1:72">
      <c r="A113" s="106"/>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125"/>
      <c r="AG113" s="3"/>
      <c r="AH113" s="3"/>
      <c r="AI113" s="3"/>
      <c r="AJ113" s="3"/>
      <c r="AK113" s="3"/>
      <c r="AL113" s="3"/>
      <c r="AM113" s="3"/>
      <c r="AN113" s="3"/>
      <c r="AO113" s="31"/>
      <c r="AP113" s="3"/>
      <c r="AQ113" s="31"/>
      <c r="AR113" s="3"/>
      <c r="AS113" s="31"/>
      <c r="AT113" s="3"/>
      <c r="AU113" s="31"/>
      <c r="AV113" s="3"/>
      <c r="AW113" s="31"/>
      <c r="AX113" s="31"/>
      <c r="AY113" s="31"/>
      <c r="AZ113" s="31"/>
      <c r="BA113" s="31"/>
      <c r="BB113" s="3"/>
      <c r="BC113" s="31"/>
      <c r="BD113" s="3"/>
      <c r="BE113" s="31"/>
      <c r="BF113" s="3"/>
      <c r="BG113" s="31"/>
      <c r="BH113" s="3"/>
      <c r="BI113" s="31"/>
      <c r="BJ113" s="31"/>
      <c r="BK113" s="31"/>
      <c r="BL113" s="3"/>
      <c r="BM113" s="3"/>
      <c r="BN113" s="3"/>
      <c r="BO113" s="3"/>
      <c r="BP113" s="3"/>
      <c r="BQ113" s="3"/>
      <c r="BR113" s="3"/>
      <c r="BS113" s="3"/>
      <c r="BT113" s="32"/>
    </row>
    <row r="114" spans="1:72">
      <c r="A114" s="106"/>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125"/>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2"/>
    </row>
    <row r="115" spans="1:72">
      <c r="A115" s="106"/>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125"/>
      <c r="AG115" s="3"/>
      <c r="AH115" s="3"/>
      <c r="AI115" s="3"/>
      <c r="AJ115" s="3"/>
      <c r="AK115" s="3"/>
      <c r="AL115" s="3"/>
      <c r="AM115" s="3"/>
      <c r="AN115" s="3"/>
      <c r="AO115" s="31"/>
      <c r="AP115" s="3"/>
      <c r="AQ115" s="31"/>
      <c r="AR115" s="3"/>
      <c r="AS115" s="31"/>
      <c r="AT115" s="3"/>
      <c r="AU115" s="31"/>
      <c r="AV115" s="3"/>
      <c r="AW115" s="31"/>
      <c r="AX115" s="31"/>
      <c r="AY115" s="31"/>
      <c r="AZ115" s="31"/>
      <c r="BA115" s="31"/>
      <c r="BB115" s="3"/>
      <c r="BC115" s="31"/>
      <c r="BD115" s="3"/>
      <c r="BE115" s="31"/>
      <c r="BF115" s="3"/>
      <c r="BG115" s="31"/>
      <c r="BH115" s="3"/>
      <c r="BI115" s="31"/>
      <c r="BJ115" s="31"/>
      <c r="BK115" s="31"/>
      <c r="BL115" s="3"/>
      <c r="BM115" s="3"/>
      <c r="BN115" s="3"/>
      <c r="BO115" s="3"/>
      <c r="BP115" s="3"/>
      <c r="BQ115" s="3"/>
      <c r="BR115" s="3"/>
      <c r="BS115" s="3"/>
      <c r="BT115" s="32"/>
    </row>
    <row r="116" spans="1:72">
      <c r="A116" s="10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125"/>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2"/>
    </row>
    <row r="117" spans="1:72">
      <c r="A117" s="106"/>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125"/>
      <c r="AG117" s="3"/>
      <c r="AH117" s="3"/>
      <c r="AI117" s="3"/>
      <c r="AJ117" s="3"/>
      <c r="AK117" s="3"/>
      <c r="AL117" s="3"/>
      <c r="AM117" s="3"/>
      <c r="AN117" s="3"/>
      <c r="AO117" s="31"/>
      <c r="AP117" s="3"/>
      <c r="AQ117" s="31"/>
      <c r="AR117" s="3"/>
      <c r="AS117" s="31"/>
      <c r="AT117" s="3"/>
      <c r="AU117" s="31"/>
      <c r="AV117" s="3"/>
      <c r="AW117" s="31"/>
      <c r="AX117" s="31"/>
      <c r="AY117" s="31"/>
      <c r="AZ117" s="31"/>
      <c r="BA117" s="31"/>
      <c r="BB117" s="3"/>
      <c r="BC117" s="31"/>
      <c r="BD117" s="3"/>
      <c r="BE117" s="31"/>
      <c r="BF117" s="3"/>
      <c r="BG117" s="31"/>
      <c r="BH117" s="3"/>
      <c r="BI117" s="31"/>
      <c r="BJ117" s="31"/>
      <c r="BK117" s="31"/>
      <c r="BL117" s="3"/>
      <c r="BM117" s="3"/>
      <c r="BN117" s="3"/>
      <c r="BO117" s="3"/>
      <c r="BP117" s="3"/>
      <c r="BQ117" s="3"/>
      <c r="BR117" s="3"/>
      <c r="BS117" s="3"/>
      <c r="BT117" s="32"/>
    </row>
    <row r="118" spans="1:72">
      <c r="A118" s="106"/>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125"/>
      <c r="AG118" s="3"/>
      <c r="AH118" s="3"/>
      <c r="AI118" s="3"/>
      <c r="AJ118" s="3"/>
      <c r="AK118" s="3"/>
      <c r="AL118" s="3"/>
      <c r="AM118" s="3"/>
      <c r="AN118" s="3"/>
      <c r="AO118" s="31"/>
      <c r="AP118" s="3"/>
      <c r="AQ118" s="31"/>
      <c r="AR118" s="3"/>
      <c r="AS118" s="31"/>
      <c r="AT118" s="3"/>
      <c r="AU118" s="31"/>
      <c r="AV118" s="3"/>
      <c r="AW118" s="31"/>
      <c r="AX118" s="31"/>
      <c r="AY118" s="31"/>
      <c r="AZ118" s="31"/>
      <c r="BA118" s="31"/>
      <c r="BB118" s="3"/>
      <c r="BC118" s="31"/>
      <c r="BD118" s="3"/>
      <c r="BE118" s="31"/>
      <c r="BF118" s="3"/>
      <c r="BG118" s="31"/>
      <c r="BH118" s="3"/>
      <c r="BI118" s="31"/>
      <c r="BJ118" s="31"/>
      <c r="BK118" s="31"/>
      <c r="BL118" s="3"/>
      <c r="BM118" s="3"/>
      <c r="BN118" s="3"/>
      <c r="BO118" s="3"/>
      <c r="BP118" s="3"/>
      <c r="BQ118" s="3"/>
      <c r="BR118" s="3"/>
      <c r="BS118" s="3"/>
      <c r="BT118" s="32"/>
    </row>
    <row r="119" spans="1:72">
      <c r="A119" s="106"/>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125"/>
      <c r="AG119" s="3"/>
      <c r="AH119" s="3"/>
      <c r="AI119" s="3"/>
      <c r="AJ119" s="3"/>
      <c r="AK119" s="3"/>
      <c r="AL119" s="3"/>
      <c r="AM119" s="3"/>
      <c r="AN119" s="3"/>
      <c r="AO119" s="31"/>
      <c r="AP119" s="3"/>
      <c r="AQ119" s="31"/>
      <c r="AR119" s="3"/>
      <c r="AS119" s="31"/>
      <c r="AT119" s="3"/>
      <c r="AU119" s="31"/>
      <c r="AV119" s="3"/>
      <c r="AW119" s="31"/>
      <c r="AX119" s="31"/>
      <c r="AY119" s="31"/>
      <c r="AZ119" s="31"/>
      <c r="BA119" s="31"/>
      <c r="BB119" s="3"/>
      <c r="BC119" s="31"/>
      <c r="BD119" s="3"/>
      <c r="BE119" s="31"/>
      <c r="BF119" s="3"/>
      <c r="BG119" s="31"/>
      <c r="BH119" s="3"/>
      <c r="BI119" s="31"/>
      <c r="BJ119" s="31"/>
      <c r="BK119" s="31"/>
      <c r="BL119" s="3"/>
      <c r="BM119" s="3"/>
      <c r="BN119" s="3"/>
      <c r="BO119" s="3"/>
      <c r="BP119" s="3"/>
      <c r="BQ119" s="3"/>
      <c r="BR119" s="3"/>
      <c r="BS119" s="3"/>
      <c r="BT119" s="32"/>
    </row>
    <row r="120" spans="1:72">
      <c r="A120" s="106"/>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125"/>
      <c r="AG120" s="3"/>
      <c r="AH120" s="3"/>
      <c r="AI120" s="3"/>
      <c r="AJ120" s="3"/>
      <c r="AK120" s="3"/>
      <c r="AL120" s="3"/>
      <c r="AM120" s="3"/>
      <c r="AN120" s="3"/>
      <c r="AO120" s="31"/>
      <c r="AP120" s="3"/>
      <c r="AQ120" s="31"/>
      <c r="AR120" s="3"/>
      <c r="AS120" s="31"/>
      <c r="AT120" s="3"/>
      <c r="AU120" s="31"/>
      <c r="AV120" s="3"/>
      <c r="AW120" s="31"/>
      <c r="AX120" s="31"/>
      <c r="AY120" s="31"/>
      <c r="AZ120" s="31"/>
      <c r="BA120" s="31"/>
      <c r="BB120" s="3"/>
      <c r="BC120" s="31"/>
      <c r="BD120" s="3"/>
      <c r="BE120" s="31"/>
      <c r="BF120" s="3"/>
      <c r="BG120" s="31"/>
      <c r="BH120" s="3"/>
      <c r="BI120" s="31"/>
      <c r="BJ120" s="31"/>
      <c r="BK120" s="31"/>
      <c r="BL120" s="3"/>
      <c r="BM120" s="3"/>
      <c r="BN120" s="3"/>
      <c r="BO120" s="3"/>
      <c r="BP120" s="3"/>
      <c r="BQ120" s="3"/>
      <c r="BR120" s="3"/>
      <c r="BS120" s="3"/>
      <c r="BT120" s="32"/>
    </row>
    <row r="121" spans="1:72">
      <c r="A121" s="106"/>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125"/>
      <c r="AG121" s="3"/>
      <c r="AH121" s="3"/>
      <c r="AI121" s="3"/>
      <c r="AJ121" s="3"/>
      <c r="AK121" s="3"/>
      <c r="AL121" s="3"/>
      <c r="AM121" s="3"/>
      <c r="AN121" s="3"/>
      <c r="AO121" s="31"/>
      <c r="AP121" s="3"/>
      <c r="AQ121" s="31"/>
      <c r="AR121" s="3"/>
      <c r="AS121" s="31"/>
      <c r="AT121" s="3"/>
      <c r="AU121" s="31"/>
      <c r="AV121" s="3"/>
      <c r="AW121" s="31"/>
      <c r="AX121" s="31"/>
      <c r="AY121" s="31"/>
      <c r="AZ121" s="31"/>
      <c r="BA121" s="31"/>
      <c r="BB121" s="3"/>
      <c r="BC121" s="31"/>
      <c r="BD121" s="3"/>
      <c r="BE121" s="31"/>
      <c r="BF121" s="3"/>
      <c r="BG121" s="31"/>
      <c r="BH121" s="3"/>
      <c r="BI121" s="31"/>
      <c r="BJ121" s="31"/>
      <c r="BK121" s="31"/>
      <c r="BL121" s="3"/>
      <c r="BM121" s="3"/>
      <c r="BN121" s="3"/>
      <c r="BO121" s="3"/>
      <c r="BP121" s="3"/>
      <c r="BQ121" s="3"/>
      <c r="BR121" s="3"/>
      <c r="BS121" s="3"/>
      <c r="BT121" s="32"/>
    </row>
    <row r="122" spans="1:72">
      <c r="A122" s="106"/>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125"/>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2"/>
    </row>
    <row r="123" spans="1:72">
      <c r="A123" s="106"/>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125"/>
      <c r="AG123" s="3"/>
      <c r="AH123" s="3"/>
      <c r="AI123" s="3"/>
      <c r="AJ123" s="3"/>
      <c r="AK123" s="3"/>
      <c r="AL123" s="3"/>
      <c r="AM123" s="3"/>
      <c r="AN123" s="3"/>
      <c r="AO123" s="31"/>
      <c r="AP123" s="3"/>
      <c r="AQ123" s="31"/>
      <c r="AR123" s="3"/>
      <c r="AS123" s="31"/>
      <c r="AT123" s="3"/>
      <c r="AU123" s="31"/>
      <c r="AV123" s="3"/>
      <c r="AW123" s="31"/>
      <c r="AX123" s="31"/>
      <c r="AY123" s="31"/>
      <c r="AZ123" s="31"/>
      <c r="BA123" s="31"/>
      <c r="BB123" s="3"/>
      <c r="BC123" s="31"/>
      <c r="BD123" s="3"/>
      <c r="BE123" s="31"/>
      <c r="BF123" s="3"/>
      <c r="BG123" s="31"/>
      <c r="BH123" s="3"/>
      <c r="BI123" s="31"/>
      <c r="BJ123" s="31"/>
      <c r="BK123" s="31"/>
      <c r="BL123" s="3"/>
      <c r="BM123" s="3"/>
      <c r="BN123" s="3"/>
      <c r="BO123" s="3"/>
      <c r="BP123" s="3"/>
      <c r="BQ123" s="3"/>
      <c r="BR123" s="3"/>
      <c r="BS123" s="3"/>
      <c r="BT123" s="32"/>
    </row>
    <row r="124" spans="1:72">
      <c r="A124" s="106"/>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125"/>
      <c r="AG124" s="3"/>
      <c r="AH124" s="3"/>
      <c r="AI124" s="3"/>
      <c r="AJ124" s="3"/>
      <c r="AK124" s="3"/>
      <c r="AL124" s="3"/>
      <c r="AM124" s="3"/>
      <c r="AN124" s="3"/>
      <c r="AO124" s="31"/>
      <c r="AP124" s="3"/>
      <c r="AQ124" s="31"/>
      <c r="AR124" s="3"/>
      <c r="AS124" s="31"/>
      <c r="AT124" s="3"/>
      <c r="AU124" s="31"/>
      <c r="AV124" s="3"/>
      <c r="AW124" s="31"/>
      <c r="AX124" s="31"/>
      <c r="AY124" s="31"/>
      <c r="AZ124" s="31"/>
      <c r="BA124" s="31"/>
      <c r="BB124" s="3"/>
      <c r="BC124" s="31"/>
      <c r="BD124" s="3"/>
      <c r="BE124" s="31"/>
      <c r="BF124" s="3"/>
      <c r="BG124" s="31"/>
      <c r="BH124" s="3"/>
      <c r="BI124" s="31"/>
      <c r="BJ124" s="31"/>
      <c r="BK124" s="31"/>
      <c r="BL124" s="3"/>
      <c r="BM124" s="3"/>
      <c r="BN124" s="3"/>
      <c r="BO124" s="3"/>
      <c r="BP124" s="3"/>
      <c r="BQ124" s="3"/>
      <c r="BR124" s="3"/>
      <c r="BS124" s="3"/>
      <c r="BT124" s="32"/>
    </row>
    <row r="125" spans="1:72">
      <c r="A125" s="106"/>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125"/>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2"/>
    </row>
    <row r="126" spans="1:72">
      <c r="A126" s="10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125"/>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2"/>
    </row>
    <row r="127" spans="1:72">
      <c r="A127" s="106"/>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125"/>
      <c r="AG127" s="3"/>
      <c r="AH127" s="3"/>
      <c r="AI127" s="3"/>
      <c r="AJ127" s="3"/>
      <c r="AK127" s="3"/>
      <c r="AL127" s="3"/>
      <c r="AM127" s="3"/>
      <c r="AN127" s="3"/>
      <c r="AO127" s="31"/>
      <c r="AP127" s="3"/>
      <c r="AQ127" s="31"/>
      <c r="AR127" s="3"/>
      <c r="AS127" s="31"/>
      <c r="AT127" s="3"/>
      <c r="AU127" s="31"/>
      <c r="AV127" s="3"/>
      <c r="AW127" s="31"/>
      <c r="AX127" s="31"/>
      <c r="AY127" s="31"/>
      <c r="AZ127" s="31"/>
      <c r="BA127" s="31"/>
      <c r="BB127" s="3"/>
      <c r="BC127" s="31"/>
      <c r="BD127" s="3"/>
      <c r="BE127" s="31"/>
      <c r="BF127" s="3"/>
      <c r="BG127" s="31"/>
      <c r="BH127" s="3"/>
      <c r="BI127" s="31"/>
      <c r="BJ127" s="31"/>
      <c r="BK127" s="31"/>
      <c r="BL127" s="3"/>
      <c r="BM127" s="3"/>
      <c r="BN127" s="3"/>
      <c r="BO127" s="3"/>
      <c r="BP127" s="3"/>
      <c r="BQ127" s="3"/>
      <c r="BR127" s="3"/>
      <c r="BS127" s="3"/>
      <c r="BT127" s="32"/>
    </row>
    <row r="128" spans="1:72">
      <c r="A128" s="106"/>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125"/>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2"/>
    </row>
    <row r="129" spans="1:72">
      <c r="A129" s="106"/>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125"/>
      <c r="AG129" s="3"/>
      <c r="AH129" s="3"/>
      <c r="AI129" s="3"/>
      <c r="AJ129" s="3"/>
      <c r="AK129" s="3"/>
      <c r="AL129" s="3"/>
      <c r="AM129" s="3"/>
      <c r="AN129" s="3"/>
      <c r="AO129" s="31"/>
      <c r="AP129" s="3"/>
      <c r="AQ129" s="31"/>
      <c r="AR129" s="3"/>
      <c r="AS129" s="31"/>
      <c r="AT129" s="3"/>
      <c r="AU129" s="31"/>
      <c r="AV129" s="3"/>
      <c r="AW129" s="31"/>
      <c r="AX129" s="31"/>
      <c r="AY129" s="31"/>
      <c r="AZ129" s="31"/>
      <c r="BA129" s="31"/>
      <c r="BB129" s="3"/>
      <c r="BC129" s="31"/>
      <c r="BD129" s="3"/>
      <c r="BE129" s="31"/>
      <c r="BF129" s="3"/>
      <c r="BG129" s="31"/>
      <c r="BH129" s="3"/>
      <c r="BI129" s="31"/>
      <c r="BJ129" s="31"/>
      <c r="BK129" s="31"/>
      <c r="BL129" s="3"/>
      <c r="BM129" s="3"/>
      <c r="BN129" s="3"/>
      <c r="BO129" s="3"/>
      <c r="BP129" s="3"/>
      <c r="BQ129" s="3"/>
      <c r="BR129" s="3"/>
      <c r="BS129" s="3"/>
      <c r="BT129" s="32"/>
    </row>
    <row r="130" spans="1:72">
      <c r="A130" s="106"/>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125"/>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2"/>
    </row>
    <row r="131" spans="1:72">
      <c r="A131" s="106"/>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125"/>
      <c r="AG131" s="3"/>
      <c r="AH131" s="3"/>
      <c r="AI131" s="3"/>
      <c r="AJ131" s="3"/>
      <c r="AK131" s="3"/>
      <c r="AL131" s="3"/>
      <c r="AM131" s="3"/>
      <c r="AN131" s="3"/>
      <c r="AO131" s="31"/>
      <c r="AP131" s="3"/>
      <c r="AQ131" s="31"/>
      <c r="AR131" s="3"/>
      <c r="AS131" s="31"/>
      <c r="AT131" s="3"/>
      <c r="AU131" s="31"/>
      <c r="AV131" s="3"/>
      <c r="AW131" s="31"/>
      <c r="AX131" s="31"/>
      <c r="AY131" s="31"/>
      <c r="AZ131" s="31"/>
      <c r="BA131" s="31"/>
      <c r="BB131" s="3"/>
      <c r="BC131" s="31"/>
      <c r="BD131" s="3"/>
      <c r="BE131" s="31"/>
      <c r="BF131" s="3"/>
      <c r="BG131" s="31"/>
      <c r="BH131" s="3"/>
      <c r="BI131" s="31"/>
      <c r="BJ131" s="31"/>
      <c r="BK131" s="31"/>
      <c r="BL131" s="3"/>
      <c r="BM131" s="3"/>
      <c r="BN131" s="3"/>
      <c r="BO131" s="3"/>
      <c r="BP131" s="3"/>
      <c r="BQ131" s="3"/>
      <c r="BR131" s="3"/>
      <c r="BS131" s="3"/>
      <c r="BT131" s="32"/>
    </row>
    <row r="132" spans="1:72">
      <c r="A132" s="106"/>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125"/>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2"/>
    </row>
    <row r="133" spans="1:72">
      <c r="A133" s="106"/>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125"/>
      <c r="AG133" s="3"/>
      <c r="AH133" s="3"/>
      <c r="AI133" s="3"/>
      <c r="AJ133" s="3"/>
      <c r="AK133" s="3"/>
      <c r="AL133" s="3"/>
      <c r="AM133" s="3"/>
      <c r="AN133" s="3"/>
      <c r="AO133" s="31"/>
      <c r="AP133" s="3"/>
      <c r="AQ133" s="31"/>
      <c r="AR133" s="3"/>
      <c r="AS133" s="31"/>
      <c r="AT133" s="3"/>
      <c r="AU133" s="31"/>
      <c r="AV133" s="3"/>
      <c r="AW133" s="31"/>
      <c r="AX133" s="31"/>
      <c r="AY133" s="31"/>
      <c r="AZ133" s="31"/>
      <c r="BA133" s="31"/>
      <c r="BB133" s="3"/>
      <c r="BC133" s="31"/>
      <c r="BD133" s="3"/>
      <c r="BE133" s="31"/>
      <c r="BF133" s="3"/>
      <c r="BG133" s="31"/>
      <c r="BH133" s="3"/>
      <c r="BI133" s="31"/>
      <c r="BJ133" s="31"/>
      <c r="BK133" s="31"/>
      <c r="BL133" s="3"/>
      <c r="BM133" s="3"/>
      <c r="BN133" s="3"/>
      <c r="BO133" s="3"/>
      <c r="BP133" s="3"/>
      <c r="BQ133" s="3"/>
      <c r="BR133" s="3"/>
      <c r="BS133" s="3"/>
      <c r="BT133" s="32"/>
    </row>
    <row r="134" spans="1:72">
      <c r="A134" s="106"/>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125"/>
      <c r="AG134" s="3"/>
      <c r="AH134" s="3"/>
      <c r="AI134" s="3"/>
      <c r="AJ134" s="3"/>
      <c r="AK134" s="3"/>
      <c r="AL134" s="3"/>
      <c r="AM134" s="3"/>
      <c r="AN134" s="3"/>
      <c r="AO134" s="31"/>
      <c r="AP134" s="3"/>
      <c r="AQ134" s="31"/>
      <c r="AR134" s="3"/>
      <c r="AS134" s="31"/>
      <c r="AT134" s="3"/>
      <c r="AU134" s="31"/>
      <c r="AV134" s="3"/>
      <c r="AW134" s="31"/>
      <c r="AX134" s="31"/>
      <c r="AY134" s="31"/>
      <c r="AZ134" s="31"/>
      <c r="BA134" s="31"/>
      <c r="BB134" s="3"/>
      <c r="BC134" s="31"/>
      <c r="BD134" s="3"/>
      <c r="BE134" s="31"/>
      <c r="BF134" s="3"/>
      <c r="BG134" s="31"/>
      <c r="BH134" s="3"/>
      <c r="BI134" s="31"/>
      <c r="BJ134" s="31"/>
      <c r="BK134" s="31"/>
      <c r="BL134" s="3"/>
      <c r="BM134" s="3"/>
      <c r="BN134" s="3"/>
      <c r="BO134" s="3"/>
      <c r="BP134" s="3"/>
      <c r="BQ134" s="3"/>
      <c r="BR134" s="3"/>
      <c r="BS134" s="3"/>
      <c r="BT134" s="32"/>
    </row>
    <row r="135" spans="1:72">
      <c r="A135" s="106"/>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125"/>
      <c r="AG135" s="3"/>
      <c r="AH135" s="3"/>
      <c r="AI135" s="3"/>
      <c r="AJ135" s="3"/>
      <c r="AK135" s="3"/>
      <c r="AL135" s="3"/>
      <c r="AM135" s="3"/>
      <c r="AN135" s="3"/>
      <c r="AO135" s="31"/>
      <c r="AP135" s="3"/>
      <c r="AQ135" s="31"/>
      <c r="AR135" s="3"/>
      <c r="AS135" s="31"/>
      <c r="AT135" s="3"/>
      <c r="AU135" s="31"/>
      <c r="AV135" s="3"/>
      <c r="AW135" s="31"/>
      <c r="AX135" s="31"/>
      <c r="AY135" s="31"/>
      <c r="AZ135" s="31"/>
      <c r="BA135" s="31"/>
      <c r="BB135" s="3"/>
      <c r="BC135" s="31"/>
      <c r="BD135" s="3"/>
      <c r="BE135" s="31"/>
      <c r="BF135" s="3"/>
      <c r="BG135" s="31"/>
      <c r="BH135" s="3"/>
      <c r="BI135" s="31"/>
      <c r="BJ135" s="31"/>
      <c r="BK135" s="31"/>
      <c r="BL135" s="3"/>
      <c r="BM135" s="3"/>
      <c r="BN135" s="3"/>
      <c r="BO135" s="3"/>
      <c r="BP135" s="3"/>
      <c r="BQ135" s="3"/>
      <c r="BR135" s="3"/>
      <c r="BS135" s="3"/>
      <c r="BT135" s="32"/>
    </row>
    <row r="136" spans="1:72">
      <c r="A136" s="10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125"/>
      <c r="AG136" s="3"/>
      <c r="AH136" s="3"/>
      <c r="AI136" s="3"/>
      <c r="AJ136" s="3"/>
      <c r="AK136" s="3"/>
      <c r="AL136" s="3"/>
      <c r="AM136" s="3"/>
      <c r="AN136" s="3"/>
      <c r="AO136" s="31"/>
      <c r="AP136" s="3"/>
      <c r="AQ136" s="31"/>
      <c r="AR136" s="3"/>
      <c r="AS136" s="31"/>
      <c r="AT136" s="3"/>
      <c r="AU136" s="31"/>
      <c r="AV136" s="3"/>
      <c r="AW136" s="31"/>
      <c r="AX136" s="31"/>
      <c r="AY136" s="31"/>
      <c r="AZ136" s="31"/>
      <c r="BA136" s="31"/>
      <c r="BB136" s="3"/>
      <c r="BC136" s="31"/>
      <c r="BD136" s="3"/>
      <c r="BE136" s="31"/>
      <c r="BF136" s="3"/>
      <c r="BG136" s="31"/>
      <c r="BH136" s="3"/>
      <c r="BI136" s="31"/>
      <c r="BJ136" s="31"/>
      <c r="BK136" s="31"/>
      <c r="BL136" s="3"/>
      <c r="BM136" s="3"/>
      <c r="BN136" s="3"/>
      <c r="BO136" s="3"/>
      <c r="BP136" s="3"/>
      <c r="BQ136" s="3"/>
      <c r="BR136" s="3"/>
      <c r="BS136" s="3"/>
      <c r="BT136" s="32"/>
    </row>
    <row r="137" spans="1:72">
      <c r="A137" s="106"/>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125"/>
      <c r="AG137" s="3"/>
      <c r="AH137" s="3"/>
      <c r="AI137" s="3"/>
      <c r="AJ137" s="3"/>
      <c r="AK137" s="3"/>
      <c r="AL137" s="3"/>
      <c r="AM137" s="3"/>
      <c r="AN137" s="3"/>
      <c r="AO137" s="31"/>
      <c r="AP137" s="3"/>
      <c r="AQ137" s="31"/>
      <c r="AR137" s="3"/>
      <c r="AS137" s="31"/>
      <c r="AT137" s="3"/>
      <c r="AU137" s="31"/>
      <c r="AV137" s="3"/>
      <c r="AW137" s="31"/>
      <c r="AX137" s="31"/>
      <c r="AY137" s="31"/>
      <c r="AZ137" s="31"/>
      <c r="BA137" s="31"/>
      <c r="BB137" s="3"/>
      <c r="BC137" s="31"/>
      <c r="BD137" s="3"/>
      <c r="BE137" s="31"/>
      <c r="BF137" s="3"/>
      <c r="BG137" s="31"/>
      <c r="BH137" s="3"/>
      <c r="BI137" s="31"/>
      <c r="BJ137" s="31"/>
      <c r="BK137" s="31"/>
      <c r="BL137" s="3"/>
      <c r="BM137" s="3"/>
      <c r="BN137" s="3"/>
      <c r="BO137" s="3"/>
      <c r="BP137" s="3"/>
      <c r="BQ137" s="3"/>
      <c r="BR137" s="3"/>
      <c r="BS137" s="3"/>
      <c r="BT137" s="32"/>
    </row>
    <row r="138" spans="1:72">
      <c r="A138" s="106"/>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125"/>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2"/>
    </row>
    <row r="139" spans="1:72">
      <c r="A139" s="106"/>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125"/>
      <c r="AG139" s="3"/>
      <c r="AH139" s="3"/>
      <c r="AI139" s="3"/>
      <c r="AJ139" s="3"/>
      <c r="AK139" s="3"/>
      <c r="AL139" s="3"/>
      <c r="AM139" s="3"/>
      <c r="AN139" s="3"/>
      <c r="AO139" s="31"/>
      <c r="AP139" s="3"/>
      <c r="AQ139" s="31"/>
      <c r="AR139" s="3"/>
      <c r="AS139" s="31"/>
      <c r="AT139" s="3"/>
      <c r="AU139" s="31"/>
      <c r="AV139" s="3"/>
      <c r="AW139" s="31"/>
      <c r="AX139" s="31"/>
      <c r="AY139" s="31"/>
      <c r="AZ139" s="31"/>
      <c r="BA139" s="31"/>
      <c r="BB139" s="3"/>
      <c r="BC139" s="31"/>
      <c r="BD139" s="3"/>
      <c r="BE139" s="31"/>
      <c r="BF139" s="3"/>
      <c r="BG139" s="31"/>
      <c r="BH139" s="3"/>
      <c r="BI139" s="31"/>
      <c r="BJ139" s="31"/>
      <c r="BK139" s="31"/>
      <c r="BL139" s="3"/>
      <c r="BM139" s="3"/>
      <c r="BN139" s="3"/>
      <c r="BO139" s="3"/>
      <c r="BP139" s="3"/>
      <c r="BQ139" s="3"/>
      <c r="BR139" s="3"/>
      <c r="BS139" s="3"/>
      <c r="BT139" s="32"/>
    </row>
    <row r="140" spans="1:72">
      <c r="A140" s="106"/>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125"/>
      <c r="AG140" s="3"/>
      <c r="AH140" s="3"/>
      <c r="AI140" s="3"/>
      <c r="AJ140" s="3"/>
      <c r="AK140" s="3"/>
      <c r="AL140" s="3"/>
      <c r="AM140" s="3"/>
      <c r="AN140" s="3"/>
      <c r="AO140" s="31"/>
      <c r="AP140" s="3"/>
      <c r="AQ140" s="31"/>
      <c r="AR140" s="3"/>
      <c r="AS140" s="31"/>
      <c r="AT140" s="3"/>
      <c r="AU140" s="31"/>
      <c r="AV140" s="3"/>
      <c r="AW140" s="31"/>
      <c r="AX140" s="31"/>
      <c r="AY140" s="31"/>
      <c r="AZ140" s="31"/>
      <c r="BA140" s="31"/>
      <c r="BB140" s="3"/>
      <c r="BC140" s="31"/>
      <c r="BD140" s="3"/>
      <c r="BE140" s="31"/>
      <c r="BF140" s="3"/>
      <c r="BG140" s="31"/>
      <c r="BH140" s="3"/>
      <c r="BI140" s="31"/>
      <c r="BJ140" s="31"/>
      <c r="BK140" s="31"/>
      <c r="BL140" s="3"/>
      <c r="BM140" s="3"/>
      <c r="BN140" s="3"/>
      <c r="BO140" s="3"/>
      <c r="BP140" s="3"/>
      <c r="BQ140" s="3"/>
      <c r="BR140" s="3"/>
      <c r="BS140" s="3"/>
      <c r="BT140" s="32"/>
    </row>
    <row r="141" spans="1:72">
      <c r="A141" s="106"/>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125"/>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2"/>
    </row>
    <row r="142" spans="1:72">
      <c r="A142" s="106"/>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125"/>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2"/>
    </row>
    <row r="143" spans="1:72">
      <c r="A143" s="106"/>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125"/>
      <c r="AG143" s="3"/>
      <c r="AH143" s="3"/>
      <c r="AI143" s="3"/>
      <c r="AJ143" s="3"/>
      <c r="AK143" s="3"/>
      <c r="AL143" s="3"/>
      <c r="AM143" s="3"/>
      <c r="AN143" s="3"/>
      <c r="AO143" s="31"/>
      <c r="AP143" s="3"/>
      <c r="AQ143" s="31"/>
      <c r="AR143" s="3"/>
      <c r="AS143" s="31"/>
      <c r="AT143" s="3"/>
      <c r="AU143" s="31"/>
      <c r="AV143" s="3"/>
      <c r="AW143" s="31"/>
      <c r="AX143" s="31"/>
      <c r="AY143" s="31"/>
      <c r="AZ143" s="31"/>
      <c r="BA143" s="31"/>
      <c r="BB143" s="3"/>
      <c r="BC143" s="31"/>
      <c r="BD143" s="3"/>
      <c r="BE143" s="31"/>
      <c r="BF143" s="3"/>
      <c r="BG143" s="31"/>
      <c r="BH143" s="3"/>
      <c r="BI143" s="31"/>
      <c r="BJ143" s="31"/>
      <c r="BK143" s="31"/>
      <c r="BL143" s="3"/>
      <c r="BM143" s="3"/>
      <c r="BN143" s="3"/>
      <c r="BO143" s="3"/>
      <c r="BP143" s="3"/>
      <c r="BQ143" s="3"/>
      <c r="BR143" s="3"/>
      <c r="BS143" s="3"/>
      <c r="BT143" s="32"/>
    </row>
    <row r="144" spans="1:72">
      <c r="A144" s="106"/>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125"/>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2"/>
    </row>
    <row r="145" spans="1:72">
      <c r="A145" s="106"/>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125"/>
      <c r="AG145" s="3"/>
      <c r="AH145" s="3"/>
      <c r="AI145" s="3"/>
      <c r="AJ145" s="3"/>
      <c r="AK145" s="3"/>
      <c r="AL145" s="3"/>
      <c r="AM145" s="3"/>
      <c r="AN145" s="3"/>
      <c r="AO145" s="31"/>
      <c r="AP145" s="3"/>
      <c r="AQ145" s="31"/>
      <c r="AR145" s="3"/>
      <c r="AS145" s="31"/>
      <c r="AT145" s="3"/>
      <c r="AU145" s="31"/>
      <c r="AV145" s="3"/>
      <c r="AW145" s="31"/>
      <c r="AX145" s="31"/>
      <c r="AY145" s="31"/>
      <c r="AZ145" s="31"/>
      <c r="BA145" s="31"/>
      <c r="BB145" s="3"/>
      <c r="BC145" s="31"/>
      <c r="BD145" s="3"/>
      <c r="BE145" s="31"/>
      <c r="BF145" s="3"/>
      <c r="BG145" s="31"/>
      <c r="BH145" s="3"/>
      <c r="BI145" s="31"/>
      <c r="BJ145" s="31"/>
      <c r="BK145" s="31"/>
      <c r="BL145" s="3"/>
      <c r="BM145" s="3"/>
      <c r="BN145" s="3"/>
      <c r="BO145" s="3"/>
      <c r="BP145" s="3"/>
      <c r="BQ145" s="3"/>
      <c r="BR145" s="3"/>
      <c r="BS145" s="3"/>
      <c r="BT145" s="32"/>
    </row>
    <row r="146" spans="1:72">
      <c r="A146" s="10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125"/>
      <c r="AG146" s="3"/>
      <c r="AH146" s="3"/>
      <c r="AI146" s="3"/>
      <c r="AJ146" s="3"/>
      <c r="AK146" s="3"/>
      <c r="AL146" s="3"/>
      <c r="AM146" s="3"/>
      <c r="AN146" s="3"/>
      <c r="AO146" s="31"/>
      <c r="AP146" s="3"/>
      <c r="AQ146" s="31"/>
      <c r="AR146" s="3"/>
      <c r="AS146" s="31"/>
      <c r="AT146" s="3"/>
      <c r="AU146" s="31"/>
      <c r="AV146" s="3"/>
      <c r="AW146" s="31"/>
      <c r="AX146" s="31"/>
      <c r="AY146" s="31"/>
      <c r="AZ146" s="31"/>
      <c r="BA146" s="31"/>
      <c r="BB146" s="3"/>
      <c r="BC146" s="31"/>
      <c r="BD146" s="3"/>
      <c r="BE146" s="31"/>
      <c r="BF146" s="3"/>
      <c r="BG146" s="31"/>
      <c r="BH146" s="3"/>
      <c r="BI146" s="31"/>
      <c r="BJ146" s="31"/>
      <c r="BK146" s="31"/>
      <c r="BL146" s="3"/>
      <c r="BM146" s="3"/>
      <c r="BN146" s="3"/>
      <c r="BO146" s="3"/>
      <c r="BP146" s="3"/>
      <c r="BQ146" s="3"/>
      <c r="BR146" s="3"/>
      <c r="BS146" s="3"/>
      <c r="BT146" s="32"/>
    </row>
    <row r="147" spans="1:72">
      <c r="A147" s="106"/>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125"/>
      <c r="AG147" s="3"/>
      <c r="AH147" s="3"/>
      <c r="AI147" s="3"/>
      <c r="AJ147" s="3"/>
      <c r="AK147" s="3"/>
      <c r="AL147" s="3"/>
      <c r="AM147" s="3"/>
      <c r="AN147" s="3"/>
      <c r="AO147" s="31"/>
      <c r="AP147" s="3"/>
      <c r="AQ147" s="31"/>
      <c r="AR147" s="3"/>
      <c r="AS147" s="31"/>
      <c r="AT147" s="3"/>
      <c r="AU147" s="31"/>
      <c r="AV147" s="3"/>
      <c r="AW147" s="31"/>
      <c r="AX147" s="31"/>
      <c r="AY147" s="31"/>
      <c r="AZ147" s="31"/>
      <c r="BA147" s="31"/>
      <c r="BB147" s="3"/>
      <c r="BC147" s="31"/>
      <c r="BD147" s="3"/>
      <c r="BE147" s="31"/>
      <c r="BF147" s="3"/>
      <c r="BG147" s="31"/>
      <c r="BH147" s="3"/>
      <c r="BI147" s="31"/>
      <c r="BJ147" s="31"/>
      <c r="BK147" s="31"/>
      <c r="BL147" s="3"/>
      <c r="BM147" s="3"/>
      <c r="BN147" s="3"/>
      <c r="BO147" s="3"/>
      <c r="BP147" s="3"/>
      <c r="BQ147" s="3"/>
      <c r="BR147" s="3"/>
      <c r="BS147" s="3"/>
      <c r="BT147" s="32"/>
    </row>
    <row r="148" spans="1:72">
      <c r="A148" s="106"/>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125"/>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2"/>
    </row>
    <row r="149" spans="1:72">
      <c r="A149" s="106"/>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125"/>
      <c r="AG149" s="3"/>
      <c r="AH149" s="3"/>
      <c r="AI149" s="3"/>
      <c r="AJ149" s="3"/>
      <c r="AK149" s="3"/>
      <c r="AL149" s="3"/>
      <c r="AM149" s="3"/>
      <c r="AN149" s="3"/>
      <c r="AO149" s="31"/>
      <c r="AP149" s="3"/>
      <c r="AQ149" s="31"/>
      <c r="AR149" s="3"/>
      <c r="AS149" s="31"/>
      <c r="AT149" s="3"/>
      <c r="AU149" s="31"/>
      <c r="AV149" s="3"/>
      <c r="AW149" s="31"/>
      <c r="AX149" s="31"/>
      <c r="AY149" s="31"/>
      <c r="AZ149" s="31"/>
      <c r="BA149" s="31"/>
      <c r="BB149" s="3"/>
      <c r="BC149" s="31"/>
      <c r="BD149" s="3"/>
      <c r="BE149" s="31"/>
      <c r="BF149" s="3"/>
      <c r="BG149" s="31"/>
      <c r="BH149" s="3"/>
      <c r="BI149" s="31"/>
      <c r="BJ149" s="31"/>
      <c r="BK149" s="31"/>
      <c r="BL149" s="3"/>
      <c r="BM149" s="3"/>
      <c r="BN149" s="3"/>
      <c r="BO149" s="3"/>
      <c r="BP149" s="3"/>
      <c r="BQ149" s="3"/>
      <c r="BR149" s="3"/>
      <c r="BS149" s="3"/>
      <c r="BT149" s="32"/>
    </row>
    <row r="150" spans="1:72">
      <c r="A150" s="106"/>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125"/>
      <c r="AG150" s="3"/>
      <c r="AH150" s="3"/>
      <c r="AI150" s="3"/>
      <c r="AJ150" s="3"/>
      <c r="AK150" s="3"/>
      <c r="AL150" s="3"/>
      <c r="AM150" s="3"/>
      <c r="AN150" s="3"/>
      <c r="AO150" s="31"/>
      <c r="AP150" s="3"/>
      <c r="AQ150" s="31"/>
      <c r="AR150" s="3"/>
      <c r="AS150" s="31"/>
      <c r="AT150" s="3"/>
      <c r="AU150" s="31"/>
      <c r="AV150" s="3"/>
      <c r="AW150" s="31"/>
      <c r="AX150" s="31"/>
      <c r="AY150" s="31"/>
      <c r="AZ150" s="31"/>
      <c r="BA150" s="31"/>
      <c r="BB150" s="3"/>
      <c r="BC150" s="31"/>
      <c r="BD150" s="3"/>
      <c r="BE150" s="31"/>
      <c r="BF150" s="3"/>
      <c r="BG150" s="31"/>
      <c r="BH150" s="3"/>
      <c r="BI150" s="31"/>
      <c r="BJ150" s="31"/>
      <c r="BK150" s="31"/>
      <c r="BL150" s="3"/>
      <c r="BM150" s="3"/>
      <c r="BN150" s="3"/>
      <c r="BO150" s="3"/>
      <c r="BP150" s="3"/>
      <c r="BQ150" s="3"/>
      <c r="BR150" s="3"/>
      <c r="BS150" s="3"/>
      <c r="BT150" s="32"/>
    </row>
    <row r="151" spans="1:72">
      <c r="A151" s="106"/>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125"/>
      <c r="AG151" s="3"/>
      <c r="AH151" s="3"/>
      <c r="AI151" s="3"/>
      <c r="AJ151" s="3"/>
      <c r="AK151" s="3"/>
      <c r="AL151" s="3"/>
      <c r="AM151" s="3"/>
      <c r="AN151" s="3"/>
      <c r="AO151" s="31"/>
      <c r="AP151" s="3"/>
      <c r="AQ151" s="31"/>
      <c r="AR151" s="3"/>
      <c r="AS151" s="31"/>
      <c r="AT151" s="3"/>
      <c r="AU151" s="31"/>
      <c r="AV151" s="3"/>
      <c r="AW151" s="31"/>
      <c r="AX151" s="31"/>
      <c r="AY151" s="31"/>
      <c r="AZ151" s="31"/>
      <c r="BA151" s="31"/>
      <c r="BB151" s="3"/>
      <c r="BC151" s="31"/>
      <c r="BD151" s="3"/>
      <c r="BE151" s="31"/>
      <c r="BF151" s="3"/>
      <c r="BG151" s="31"/>
      <c r="BH151" s="3"/>
      <c r="BI151" s="31"/>
      <c r="BJ151" s="31"/>
      <c r="BK151" s="31"/>
      <c r="BL151" s="3"/>
      <c r="BM151" s="3"/>
      <c r="BN151" s="3"/>
      <c r="BO151" s="3"/>
      <c r="BP151" s="3"/>
      <c r="BQ151" s="3"/>
      <c r="BR151" s="3"/>
      <c r="BS151" s="3"/>
      <c r="BT151" s="32"/>
    </row>
    <row r="152" spans="1:72">
      <c r="A152" s="106"/>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125"/>
      <c r="AG152" s="3"/>
      <c r="AH152" s="3"/>
      <c r="AI152" s="3"/>
      <c r="AJ152" s="3"/>
      <c r="AK152" s="3"/>
      <c r="AL152" s="3"/>
      <c r="AM152" s="3"/>
      <c r="AN152" s="3"/>
      <c r="AO152" s="31"/>
      <c r="AP152" s="3"/>
      <c r="AQ152" s="31"/>
      <c r="AR152" s="3"/>
      <c r="AS152" s="31"/>
      <c r="AT152" s="3"/>
      <c r="AU152" s="31"/>
      <c r="AV152" s="3"/>
      <c r="AW152" s="31"/>
      <c r="AX152" s="31"/>
      <c r="AY152" s="31"/>
      <c r="AZ152" s="31"/>
      <c r="BA152" s="31"/>
      <c r="BB152" s="3"/>
      <c r="BC152" s="31"/>
      <c r="BD152" s="3"/>
      <c r="BE152" s="31"/>
      <c r="BF152" s="3"/>
      <c r="BG152" s="31"/>
      <c r="BH152" s="3"/>
      <c r="BI152" s="31"/>
      <c r="BJ152" s="31"/>
      <c r="BK152" s="31"/>
      <c r="BL152" s="3"/>
      <c r="BM152" s="3"/>
      <c r="BN152" s="3"/>
      <c r="BO152" s="3"/>
      <c r="BP152" s="3"/>
      <c r="BQ152" s="3"/>
      <c r="BR152" s="3"/>
      <c r="BS152" s="3"/>
      <c r="BT152" s="32"/>
    </row>
    <row r="153" spans="1:72">
      <c r="A153" s="106"/>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125"/>
      <c r="AG153" s="3"/>
      <c r="AH153" s="3"/>
      <c r="AI153" s="3"/>
      <c r="AJ153" s="3"/>
      <c r="AK153" s="3"/>
      <c r="AL153" s="3"/>
      <c r="AM153" s="3"/>
      <c r="AN153" s="3"/>
      <c r="AO153" s="31"/>
      <c r="AP153" s="3"/>
      <c r="AQ153" s="31"/>
      <c r="AR153" s="3"/>
      <c r="AS153" s="31"/>
      <c r="AT153" s="3"/>
      <c r="AU153" s="31"/>
      <c r="AV153" s="3"/>
      <c r="AW153" s="31"/>
      <c r="AX153" s="31"/>
      <c r="AY153" s="31"/>
      <c r="AZ153" s="31"/>
      <c r="BA153" s="31"/>
      <c r="BB153" s="3"/>
      <c r="BC153" s="31"/>
      <c r="BD153" s="3"/>
      <c r="BE153" s="31"/>
      <c r="BF153" s="3"/>
      <c r="BG153" s="31"/>
      <c r="BH153" s="3"/>
      <c r="BI153" s="31"/>
      <c r="BJ153" s="31"/>
      <c r="BK153" s="31"/>
      <c r="BL153" s="3"/>
      <c r="BM153" s="3"/>
      <c r="BN153" s="3"/>
      <c r="BO153" s="3"/>
      <c r="BP153" s="3"/>
      <c r="BQ153" s="3"/>
      <c r="BR153" s="3"/>
      <c r="BS153" s="3"/>
      <c r="BT153" s="32"/>
    </row>
    <row r="154" spans="1:72">
      <c r="A154" s="106"/>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125"/>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2"/>
    </row>
    <row r="155" spans="1:72">
      <c r="A155" s="106"/>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125"/>
      <c r="AG155" s="3"/>
      <c r="AH155" s="3"/>
      <c r="AI155" s="3"/>
      <c r="AJ155" s="3"/>
      <c r="AK155" s="3"/>
      <c r="AL155" s="3"/>
      <c r="AM155" s="3"/>
      <c r="AN155" s="3"/>
      <c r="AO155" s="31"/>
      <c r="AP155" s="3"/>
      <c r="AQ155" s="31"/>
      <c r="AR155" s="3"/>
      <c r="AS155" s="31"/>
      <c r="AT155" s="3"/>
      <c r="AU155" s="31"/>
      <c r="AV155" s="3"/>
      <c r="AW155" s="31"/>
      <c r="AX155" s="31"/>
      <c r="AY155" s="31"/>
      <c r="AZ155" s="31"/>
      <c r="BA155" s="31"/>
      <c r="BB155" s="3"/>
      <c r="BC155" s="31"/>
      <c r="BD155" s="3"/>
      <c r="BE155" s="31"/>
      <c r="BF155" s="3"/>
      <c r="BG155" s="31"/>
      <c r="BH155" s="3"/>
      <c r="BI155" s="31"/>
      <c r="BJ155" s="31"/>
      <c r="BK155" s="31"/>
      <c r="BL155" s="3"/>
      <c r="BM155" s="3"/>
      <c r="BN155" s="3"/>
      <c r="BO155" s="3"/>
      <c r="BP155" s="3"/>
      <c r="BQ155" s="3"/>
      <c r="BR155" s="3"/>
      <c r="BS155" s="3"/>
      <c r="BT155" s="32"/>
    </row>
    <row r="156" spans="1:72">
      <c r="A156" s="10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125"/>
      <c r="AG156" s="3"/>
      <c r="AH156" s="3"/>
      <c r="AI156" s="3"/>
      <c r="AJ156" s="3"/>
      <c r="AK156" s="3"/>
      <c r="AL156" s="3"/>
      <c r="AM156" s="3"/>
      <c r="AN156" s="3"/>
      <c r="AO156" s="31"/>
      <c r="AP156" s="3"/>
      <c r="AQ156" s="31"/>
      <c r="AR156" s="3"/>
      <c r="AS156" s="31"/>
      <c r="AT156" s="3"/>
      <c r="AU156" s="31"/>
      <c r="AV156" s="3"/>
      <c r="AW156" s="31"/>
      <c r="AX156" s="31"/>
      <c r="AY156" s="31"/>
      <c r="AZ156" s="31"/>
      <c r="BA156" s="31"/>
      <c r="BB156" s="3"/>
      <c r="BC156" s="31"/>
      <c r="BD156" s="3"/>
      <c r="BE156" s="31"/>
      <c r="BF156" s="3"/>
      <c r="BG156" s="31"/>
      <c r="BH156" s="3"/>
      <c r="BI156" s="31"/>
      <c r="BJ156" s="31"/>
      <c r="BK156" s="31"/>
      <c r="BL156" s="3"/>
      <c r="BM156" s="3"/>
      <c r="BN156" s="3"/>
      <c r="BO156" s="3"/>
      <c r="BP156" s="3"/>
      <c r="BQ156" s="3"/>
      <c r="BR156" s="3"/>
      <c r="BS156" s="3"/>
      <c r="BT156" s="32"/>
    </row>
    <row r="157" spans="1:72">
      <c r="A157" s="106"/>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125"/>
      <c r="AG157" s="3"/>
      <c r="AH157" s="3"/>
      <c r="AI157" s="3"/>
      <c r="AJ157" s="3"/>
      <c r="AK157" s="3"/>
      <c r="AL157" s="3"/>
      <c r="AM157" s="3"/>
      <c r="AN157" s="3"/>
      <c r="AO157" s="31"/>
      <c r="AP157" s="3"/>
      <c r="AQ157" s="31"/>
      <c r="AR157" s="3"/>
      <c r="AS157" s="31"/>
      <c r="AT157" s="3"/>
      <c r="AU157" s="31"/>
      <c r="AV157" s="3"/>
      <c r="AW157" s="31"/>
      <c r="AX157" s="31"/>
      <c r="AY157" s="31"/>
      <c r="AZ157" s="31"/>
      <c r="BA157" s="31"/>
      <c r="BB157" s="3"/>
      <c r="BC157" s="31"/>
      <c r="BD157" s="3"/>
      <c r="BE157" s="31"/>
      <c r="BF157" s="3"/>
      <c r="BG157" s="31"/>
      <c r="BH157" s="3"/>
      <c r="BI157" s="31"/>
      <c r="BJ157" s="31"/>
      <c r="BK157" s="31"/>
      <c r="BL157" s="3"/>
      <c r="BM157" s="3"/>
      <c r="BN157" s="3"/>
      <c r="BO157" s="3"/>
      <c r="BP157" s="3"/>
      <c r="BQ157" s="3"/>
      <c r="BR157" s="3"/>
      <c r="BS157" s="3"/>
      <c r="BT157" s="32"/>
    </row>
    <row r="158" spans="1:72">
      <c r="A158" s="106"/>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125"/>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2"/>
    </row>
    <row r="159" spans="1:72">
      <c r="A159" s="106"/>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125"/>
      <c r="AG159" s="3"/>
      <c r="AH159" s="3"/>
      <c r="AI159" s="3"/>
      <c r="AJ159" s="3"/>
      <c r="AK159" s="3"/>
      <c r="AL159" s="3"/>
      <c r="AM159" s="3"/>
      <c r="AN159" s="3"/>
      <c r="AO159" s="31"/>
      <c r="AP159" s="3"/>
      <c r="AQ159" s="31"/>
      <c r="AR159" s="3"/>
      <c r="AS159" s="31"/>
      <c r="AT159" s="3"/>
      <c r="AU159" s="31"/>
      <c r="AV159" s="3"/>
      <c r="AW159" s="31"/>
      <c r="AX159" s="31"/>
      <c r="AY159" s="31"/>
      <c r="AZ159" s="31"/>
      <c r="BA159" s="31"/>
      <c r="BB159" s="3"/>
      <c r="BC159" s="31"/>
      <c r="BD159" s="3"/>
      <c r="BE159" s="31"/>
      <c r="BF159" s="3"/>
      <c r="BG159" s="31"/>
      <c r="BH159" s="3"/>
      <c r="BI159" s="31"/>
      <c r="BJ159" s="31"/>
      <c r="BK159" s="31"/>
      <c r="BL159" s="3"/>
      <c r="BM159" s="3"/>
      <c r="BN159" s="3"/>
      <c r="BO159" s="3"/>
      <c r="BP159" s="3"/>
      <c r="BQ159" s="3"/>
      <c r="BR159" s="3"/>
      <c r="BS159" s="3"/>
      <c r="BT159" s="32"/>
    </row>
    <row r="160" spans="1:72">
      <c r="A160" s="106"/>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125"/>
      <c r="AG160" s="3"/>
      <c r="AH160" s="3"/>
      <c r="AI160" s="3"/>
      <c r="AJ160" s="3"/>
      <c r="AK160" s="3"/>
      <c r="AL160" s="3"/>
      <c r="AM160" s="3"/>
      <c r="AN160" s="3"/>
      <c r="AO160" s="31"/>
      <c r="AP160" s="3"/>
      <c r="AQ160" s="31"/>
      <c r="AR160" s="3"/>
      <c r="AS160" s="31"/>
      <c r="AT160" s="3"/>
      <c r="AU160" s="31"/>
      <c r="AV160" s="3"/>
      <c r="AW160" s="31"/>
      <c r="AX160" s="31"/>
      <c r="AY160" s="31"/>
      <c r="AZ160" s="31"/>
      <c r="BA160" s="31"/>
      <c r="BB160" s="3"/>
      <c r="BC160" s="31"/>
      <c r="BD160" s="3"/>
      <c r="BE160" s="31"/>
      <c r="BF160" s="3"/>
      <c r="BG160" s="31"/>
      <c r="BH160" s="3"/>
      <c r="BI160" s="31"/>
      <c r="BJ160" s="31"/>
      <c r="BK160" s="31"/>
      <c r="BL160" s="3"/>
      <c r="BM160" s="3"/>
      <c r="BN160" s="3"/>
      <c r="BO160" s="3"/>
      <c r="BP160" s="3"/>
      <c r="BQ160" s="3"/>
      <c r="BR160" s="3"/>
      <c r="BS160" s="3"/>
      <c r="BT160" s="32"/>
    </row>
    <row r="161" spans="1:72">
      <c r="A161" s="106"/>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125"/>
      <c r="AG161" s="3"/>
      <c r="AH161" s="3"/>
      <c r="AI161" s="3"/>
      <c r="AJ161" s="3"/>
      <c r="AK161" s="3"/>
      <c r="AL161" s="3"/>
      <c r="AM161" s="3"/>
      <c r="AN161" s="3"/>
      <c r="AO161" s="31"/>
      <c r="AP161" s="3"/>
      <c r="AQ161" s="31"/>
      <c r="AR161" s="3"/>
      <c r="AS161" s="31"/>
      <c r="AT161" s="3"/>
      <c r="AU161" s="31"/>
      <c r="AV161" s="3"/>
      <c r="AW161" s="31"/>
      <c r="AX161" s="31"/>
      <c r="AY161" s="31"/>
      <c r="AZ161" s="31"/>
      <c r="BA161" s="31"/>
      <c r="BB161" s="3"/>
      <c r="BC161" s="31"/>
      <c r="BD161" s="3"/>
      <c r="BE161" s="31"/>
      <c r="BF161" s="3"/>
      <c r="BG161" s="31"/>
      <c r="BH161" s="3"/>
      <c r="BI161" s="31"/>
      <c r="BJ161" s="31"/>
      <c r="BK161" s="31"/>
      <c r="BL161" s="3"/>
      <c r="BM161" s="3"/>
      <c r="BN161" s="3"/>
      <c r="BO161" s="3"/>
      <c r="BP161" s="3"/>
      <c r="BQ161" s="3"/>
      <c r="BR161" s="3"/>
      <c r="BS161" s="3"/>
      <c r="BT161" s="32"/>
    </row>
    <row r="162" spans="1:72">
      <c r="A162" s="108"/>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127"/>
      <c r="AG162" s="6"/>
      <c r="AH162" s="6"/>
      <c r="AI162" s="6"/>
      <c r="AJ162" s="6"/>
      <c r="AK162" s="6"/>
      <c r="AL162" s="6"/>
      <c r="AM162" s="6"/>
      <c r="AN162" s="3"/>
      <c r="AO162" s="31"/>
      <c r="AP162" s="3"/>
      <c r="AQ162" s="31"/>
      <c r="AR162" s="3"/>
      <c r="AS162" s="31"/>
      <c r="AT162" s="3"/>
      <c r="AU162" s="31"/>
      <c r="AV162" s="3"/>
      <c r="AW162" s="31"/>
      <c r="AX162" s="31"/>
      <c r="AY162" s="31"/>
      <c r="AZ162" s="31"/>
      <c r="BA162" s="31"/>
      <c r="BB162" s="3"/>
      <c r="BC162" s="31"/>
      <c r="BD162" s="3"/>
      <c r="BE162" s="31"/>
      <c r="BF162" s="3"/>
      <c r="BG162" s="31"/>
      <c r="BH162" s="3"/>
      <c r="BI162" s="31"/>
      <c r="BJ162" s="31"/>
      <c r="BK162" s="31"/>
      <c r="BL162" s="3"/>
      <c r="BM162" s="3"/>
      <c r="BN162" s="3"/>
      <c r="BO162" s="3"/>
      <c r="BP162" s="3"/>
      <c r="BQ162" s="3"/>
      <c r="BR162" s="3"/>
      <c r="BS162" s="3"/>
      <c r="BT162" s="32"/>
    </row>
    <row r="163" spans="1:72">
      <c r="AN163" s="3"/>
      <c r="AO163" s="31"/>
      <c r="AP163" s="3"/>
      <c r="AQ163" s="31"/>
      <c r="AR163" s="3"/>
      <c r="AS163" s="31"/>
      <c r="AT163" s="3"/>
      <c r="AU163" s="31"/>
      <c r="AV163" s="3"/>
      <c r="AW163" s="31"/>
      <c r="AX163" s="31"/>
      <c r="AY163" s="31"/>
      <c r="AZ163" s="31"/>
      <c r="BA163" s="31"/>
      <c r="BB163" s="3"/>
      <c r="BC163" s="31"/>
      <c r="BD163" s="3"/>
      <c r="BE163" s="31"/>
      <c r="BF163" s="3"/>
      <c r="BG163" s="31"/>
      <c r="BH163" s="3"/>
      <c r="BI163" s="31"/>
      <c r="BJ163" s="31"/>
      <c r="BK163" s="31"/>
      <c r="BL163" s="3"/>
      <c r="BM163" s="3"/>
      <c r="BN163" s="3"/>
      <c r="BO163" s="3"/>
      <c r="BP163" s="3"/>
      <c r="BQ163" s="3"/>
      <c r="BR163" s="3"/>
      <c r="BS163" s="3"/>
      <c r="BT163" s="32"/>
    </row>
    <row r="164" spans="1:72">
      <c r="AN164" s="3"/>
      <c r="AO164" s="31"/>
      <c r="AP164" s="3"/>
      <c r="AQ164" s="31"/>
      <c r="AR164" s="3"/>
      <c r="AS164" s="31"/>
      <c r="AT164" s="3"/>
      <c r="AU164" s="31"/>
      <c r="AV164" s="3"/>
      <c r="AW164" s="31"/>
      <c r="AX164" s="31"/>
      <c r="AY164" s="31"/>
      <c r="AZ164" s="31"/>
      <c r="BA164" s="31"/>
      <c r="BB164" s="3"/>
      <c r="BC164" s="31"/>
      <c r="BD164" s="3"/>
      <c r="BE164" s="31"/>
      <c r="BF164" s="3"/>
      <c r="BG164" s="31"/>
      <c r="BH164" s="3"/>
      <c r="BI164" s="31"/>
      <c r="BJ164" s="31"/>
      <c r="BK164" s="31"/>
      <c r="BL164" s="3"/>
      <c r="BM164" s="3"/>
      <c r="BN164" s="3"/>
      <c r="BO164" s="3"/>
      <c r="BP164" s="3"/>
      <c r="BQ164" s="3"/>
      <c r="BR164" s="3"/>
      <c r="BS164" s="3"/>
      <c r="BT164" s="32"/>
    </row>
    <row r="165" spans="1:72">
      <c r="AN165" s="3"/>
      <c r="AO165" s="31"/>
      <c r="AP165" s="3"/>
      <c r="AQ165" s="31"/>
      <c r="AR165" s="3"/>
      <c r="AS165" s="31"/>
      <c r="AT165" s="3"/>
      <c r="AU165" s="31"/>
      <c r="AV165" s="3"/>
      <c r="AW165" s="31"/>
      <c r="AX165" s="31"/>
      <c r="AY165" s="31"/>
      <c r="AZ165" s="31"/>
      <c r="BA165" s="31"/>
      <c r="BB165" s="3"/>
      <c r="BC165" s="31"/>
      <c r="BD165" s="3"/>
      <c r="BE165" s="31"/>
      <c r="BF165" s="3"/>
      <c r="BG165" s="31"/>
      <c r="BH165" s="3"/>
      <c r="BI165" s="31"/>
      <c r="BJ165" s="31"/>
      <c r="BK165" s="31"/>
      <c r="BL165" s="3"/>
      <c r="BM165" s="3"/>
      <c r="BN165" s="3"/>
      <c r="BO165" s="3"/>
      <c r="BP165" s="3"/>
      <c r="BQ165" s="3"/>
      <c r="BR165" s="3"/>
      <c r="BS165" s="3"/>
      <c r="BT165" s="32"/>
    </row>
    <row r="166" spans="1:72">
      <c r="AN166" s="3"/>
      <c r="AO166" s="31"/>
      <c r="AP166" s="3"/>
      <c r="AQ166" s="31"/>
      <c r="AR166" s="3"/>
      <c r="AS166" s="31"/>
      <c r="AT166" s="3"/>
      <c r="AU166" s="31"/>
      <c r="AV166" s="3"/>
      <c r="AW166" s="31"/>
      <c r="AX166" s="31"/>
      <c r="AY166" s="31"/>
      <c r="AZ166" s="31"/>
      <c r="BA166" s="31"/>
      <c r="BB166" s="3"/>
      <c r="BC166" s="31"/>
      <c r="BD166" s="3"/>
      <c r="BE166" s="31"/>
      <c r="BF166" s="3"/>
      <c r="BG166" s="31"/>
      <c r="BH166" s="3"/>
      <c r="BI166" s="31"/>
      <c r="BJ166" s="31"/>
      <c r="BK166" s="31"/>
      <c r="BL166" s="3"/>
      <c r="BM166" s="3"/>
      <c r="BN166" s="3"/>
      <c r="BO166" s="3"/>
      <c r="BP166" s="3"/>
      <c r="BQ166" s="3"/>
      <c r="BR166" s="3"/>
      <c r="BS166" s="3"/>
      <c r="BT166" s="32"/>
    </row>
    <row r="167" spans="1:72">
      <c r="AN167" s="3"/>
      <c r="AO167" s="31"/>
      <c r="AP167" s="3"/>
      <c r="AQ167" s="31"/>
      <c r="AR167" s="3"/>
      <c r="AS167" s="31"/>
      <c r="AT167" s="3"/>
      <c r="AU167" s="31"/>
      <c r="AV167" s="3"/>
      <c r="AW167" s="31"/>
      <c r="AX167" s="31"/>
      <c r="AY167" s="31"/>
      <c r="AZ167" s="31"/>
      <c r="BA167" s="31"/>
      <c r="BB167" s="3"/>
      <c r="BC167" s="31"/>
      <c r="BD167" s="3"/>
      <c r="BE167" s="31"/>
      <c r="BF167" s="3"/>
      <c r="BG167" s="31"/>
      <c r="BH167" s="3"/>
      <c r="BI167" s="31"/>
      <c r="BJ167" s="31"/>
      <c r="BK167" s="31"/>
      <c r="BL167" s="3"/>
      <c r="BM167" s="3"/>
      <c r="BN167" s="3"/>
      <c r="BO167" s="3"/>
      <c r="BP167" s="3"/>
      <c r="BQ167" s="3"/>
      <c r="BR167" s="3"/>
      <c r="BS167" s="3"/>
      <c r="BT167" s="32"/>
    </row>
    <row r="168" spans="1:72">
      <c r="AN168" s="3"/>
      <c r="AO168" s="31"/>
      <c r="AP168" s="3"/>
      <c r="AQ168" s="31"/>
      <c r="AR168" s="3"/>
      <c r="AS168" s="31"/>
      <c r="AT168" s="3"/>
      <c r="AU168" s="31"/>
      <c r="AV168" s="3"/>
      <c r="AW168" s="31"/>
      <c r="AX168" s="31"/>
      <c r="AY168" s="31"/>
      <c r="AZ168" s="31"/>
      <c r="BA168" s="31"/>
      <c r="BB168" s="3"/>
      <c r="BC168" s="31"/>
      <c r="BD168" s="3"/>
      <c r="BE168" s="31"/>
      <c r="BF168" s="3"/>
      <c r="BG168" s="31"/>
      <c r="BH168" s="3"/>
      <c r="BI168" s="31"/>
      <c r="BJ168" s="31"/>
      <c r="BK168" s="31"/>
      <c r="BL168" s="3"/>
      <c r="BM168" s="3"/>
      <c r="BN168" s="3"/>
      <c r="BO168" s="3"/>
      <c r="BP168" s="3"/>
      <c r="BQ168" s="3"/>
      <c r="BR168" s="3"/>
      <c r="BS168" s="3"/>
      <c r="BT168" s="32"/>
    </row>
    <row r="169" spans="1:72">
      <c r="AN169" s="3"/>
      <c r="AO169" s="31"/>
      <c r="AP169" s="3"/>
      <c r="AQ169" s="31"/>
      <c r="AR169" s="3"/>
      <c r="AS169" s="31"/>
      <c r="AT169" s="3"/>
      <c r="AU169" s="31"/>
      <c r="AV169" s="3"/>
      <c r="AW169" s="31"/>
      <c r="AX169" s="31"/>
      <c r="AY169" s="31"/>
      <c r="AZ169" s="31"/>
      <c r="BA169" s="31"/>
      <c r="BB169" s="3"/>
      <c r="BC169" s="31"/>
      <c r="BD169" s="3"/>
      <c r="BE169" s="31"/>
      <c r="BF169" s="3"/>
      <c r="BG169" s="31"/>
      <c r="BH169" s="3"/>
      <c r="BI169" s="31"/>
      <c r="BJ169" s="31"/>
      <c r="BK169" s="31"/>
      <c r="BL169" s="3"/>
      <c r="BM169" s="3"/>
      <c r="BN169" s="3"/>
      <c r="BO169" s="3"/>
      <c r="BP169" s="3"/>
      <c r="BQ169" s="3"/>
      <c r="BR169" s="3"/>
      <c r="BS169" s="3"/>
      <c r="BT169" s="32"/>
    </row>
    <row r="170" spans="1:72">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2"/>
    </row>
    <row r="171" spans="1:72">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2"/>
    </row>
    <row r="172" spans="1:72">
      <c r="AN172" s="3"/>
      <c r="AO172" s="31"/>
      <c r="AP172" s="3"/>
      <c r="AQ172" s="31"/>
      <c r="AR172" s="3"/>
      <c r="AS172" s="31"/>
      <c r="AT172" s="3"/>
      <c r="AU172" s="31"/>
      <c r="AV172" s="3"/>
      <c r="AW172" s="31"/>
      <c r="AX172" s="31"/>
      <c r="AY172" s="31"/>
      <c r="AZ172" s="31"/>
      <c r="BA172" s="31"/>
      <c r="BB172" s="3"/>
      <c r="BC172" s="31"/>
      <c r="BD172" s="3"/>
      <c r="BE172" s="31"/>
      <c r="BF172" s="3"/>
      <c r="BG172" s="31"/>
      <c r="BH172" s="3"/>
      <c r="BI172" s="31"/>
      <c r="BJ172" s="31"/>
      <c r="BK172" s="31"/>
      <c r="BL172" s="3"/>
      <c r="BM172" s="3"/>
      <c r="BN172" s="3"/>
      <c r="BO172" s="3"/>
      <c r="BP172" s="3"/>
      <c r="BQ172" s="3"/>
      <c r="BR172" s="3"/>
      <c r="BS172" s="3"/>
      <c r="BT172" s="32"/>
    </row>
    <row r="173" spans="1:72">
      <c r="AN173" s="3"/>
      <c r="AO173" s="31"/>
      <c r="AP173" s="3"/>
      <c r="AQ173" s="31"/>
      <c r="AR173" s="3"/>
      <c r="AS173" s="31"/>
      <c r="AT173" s="3"/>
      <c r="AU173" s="31"/>
      <c r="AV173" s="3"/>
      <c r="AW173" s="31"/>
      <c r="AX173" s="31"/>
      <c r="AY173" s="31"/>
      <c r="AZ173" s="31"/>
      <c r="BA173" s="31"/>
      <c r="BB173" s="3"/>
      <c r="BC173" s="31"/>
      <c r="BD173" s="3"/>
      <c r="BE173" s="31"/>
      <c r="BF173" s="3"/>
      <c r="BG173" s="31"/>
      <c r="BH173" s="3"/>
      <c r="BI173" s="31"/>
      <c r="BJ173" s="31"/>
      <c r="BK173" s="31"/>
      <c r="BL173" s="3"/>
      <c r="BM173" s="3"/>
      <c r="BN173" s="3"/>
      <c r="BO173" s="3"/>
      <c r="BP173" s="3"/>
      <c r="BQ173" s="3"/>
      <c r="BR173" s="3"/>
      <c r="BS173" s="3"/>
      <c r="BT173" s="32"/>
    </row>
    <row r="174" spans="1:72">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36"/>
    </row>
  </sheetData>
  <autoFilter ref="A6:HK87" xr:uid="{00000000-0009-0000-0000-000001000000}"/>
  <sortState xmlns:xlrd2="http://schemas.microsoft.com/office/spreadsheetml/2017/richdata2" ref="B7:BT79">
    <sortCondition ref="AU6:AU79"/>
  </sortState>
  <mergeCells count="16">
    <mergeCell ref="AO5:AP5"/>
    <mergeCell ref="B1:M3"/>
    <mergeCell ref="X5:AM5"/>
    <mergeCell ref="B5:M5"/>
    <mergeCell ref="N5:W5"/>
    <mergeCell ref="AN4:BT4"/>
    <mergeCell ref="AQ5:AR5"/>
    <mergeCell ref="AS5:AT5"/>
    <mergeCell ref="AU5:AV5"/>
    <mergeCell ref="AW5:AX5"/>
    <mergeCell ref="AY5:AZ5"/>
    <mergeCell ref="BA5:BB5"/>
    <mergeCell ref="BC5:BD5"/>
    <mergeCell ref="BE5:BF5"/>
    <mergeCell ref="BG5:BH5"/>
    <mergeCell ref="BL5:BT5"/>
  </mergeCells>
  <phoneticPr fontId="15" type="noConversion"/>
  <conditionalFormatting sqref="B7:J15 C84:J84">
    <cfRule type="cellIs" dxfId="1705" priority="80" stopIfTrue="1" operator="equal">
      <formula>"A déterminer"</formula>
    </cfRule>
    <cfRule type="cellIs" dxfId="1704" priority="81" stopIfTrue="1" operator="equal">
      <formula>"cf. Liste des applications"</formula>
    </cfRule>
  </conditionalFormatting>
  <conditionalFormatting sqref="B16:J87 C13:I14 AP56:AP87 AR56:AR87 AT56:AT87 AV56:AV87 AX56:AX87 AZ56:AZ87 BB56:BB87 BD56:BD87 BF56:BF87 BK56:BK87 N66:N87 R29:R30">
    <cfRule type="cellIs" dxfId="1703" priority="2856" stopIfTrue="1" operator="equal">
      <formula>"cf. Liste des applications"</formula>
    </cfRule>
  </conditionalFormatting>
  <conditionalFormatting sqref="C13:C19 B16:J87 AJ17:AL20">
    <cfRule type="cellIs" dxfId="1702" priority="2869" stopIfTrue="1" operator="equal">
      <formula>"A déterminer"</formula>
    </cfRule>
  </conditionalFormatting>
  <conditionalFormatting sqref="C22:C25 R29:R30">
    <cfRule type="cellIs" dxfId="1701" priority="2857" stopIfTrue="1" operator="equal">
      <formula>"A déterminer"</formula>
    </cfRule>
  </conditionalFormatting>
  <conditionalFormatting sqref="C27:C28 C41:J41 C52:J53">
    <cfRule type="cellIs" dxfId="1700" priority="2582" stopIfTrue="1" operator="equal">
      <formula>"A déterminer"</formula>
    </cfRule>
  </conditionalFormatting>
  <conditionalFormatting sqref="C27:C28 C52:J53 C41:J41">
    <cfRule type="cellIs" dxfId="1699" priority="2581" stopIfTrue="1" operator="equal">
      <formula>"cf. Liste des applications"</formula>
    </cfRule>
  </conditionalFormatting>
  <conditionalFormatting sqref="C27:C28 C52:J53">
    <cfRule type="cellIs" dxfId="1698" priority="2580" stopIfTrue="1" operator="equal">
      <formula>"A déterminer"</formula>
    </cfRule>
  </conditionalFormatting>
  <conditionalFormatting sqref="C42:C46 C55:F55 C56:J61 C61:F62 C63:J65 C67:J71 C77:J80 C82:J82 C23:H25 C37:J41 C31:J35 C52:J53 C49:F50 C84:F87">
    <cfRule type="cellIs" dxfId="1697" priority="1772" stopIfTrue="1" operator="equal">
      <formula>"cf. Liste des applications"</formula>
    </cfRule>
  </conditionalFormatting>
  <conditionalFormatting sqref="C44:C46 I46:J46">
    <cfRule type="cellIs" dxfId="1696" priority="1807" stopIfTrue="1" operator="equal">
      <formula>"A déterminer"</formula>
    </cfRule>
  </conditionalFormatting>
  <conditionalFormatting sqref="C55:C56 C58">
    <cfRule type="cellIs" dxfId="1695" priority="1617" stopIfTrue="1" operator="equal">
      <formula>"cf. Liste des applications"</formula>
    </cfRule>
    <cfRule type="cellIs" dxfId="1694" priority="1618" stopIfTrue="1" operator="equal">
      <formula>"A déterminer"</formula>
    </cfRule>
  </conditionalFormatting>
  <conditionalFormatting sqref="C60">
    <cfRule type="cellIs" dxfId="1693" priority="1547" stopIfTrue="1" operator="equal">
      <formula>"cf. Liste des applications"</formula>
    </cfRule>
    <cfRule type="cellIs" dxfId="1692" priority="1548" stopIfTrue="1" operator="equal">
      <formula>"A déterminer"</formula>
    </cfRule>
  </conditionalFormatting>
  <conditionalFormatting sqref="C79:C80">
    <cfRule type="cellIs" dxfId="1691" priority="995" stopIfTrue="1" operator="equal">
      <formula>"cf. Liste des applications"</formula>
    </cfRule>
    <cfRule type="cellIs" dxfId="1690" priority="996" stopIfTrue="1" operator="equal">
      <formula>"A déterminer"</formula>
    </cfRule>
  </conditionalFormatting>
  <conditionalFormatting sqref="C23:H25 C31:J41 C42:C43 C49:F50 C52:J53 C55:F55 C56:J61 C61:F62 C63:J65 C67:J71 C77:J80 C82:J82 C84:F87 D42:J45">
    <cfRule type="cellIs" dxfId="1689" priority="1773" stopIfTrue="1" operator="equal">
      <formula>"A déterminer"</formula>
    </cfRule>
  </conditionalFormatting>
  <conditionalFormatting sqref="C36:J36 C47:J47 C73:J73 C75:J75">
    <cfRule type="cellIs" dxfId="1688" priority="2002" stopIfTrue="1" operator="equal">
      <formula>"A déterminer"</formula>
    </cfRule>
  </conditionalFormatting>
  <conditionalFormatting sqref="C45:J48">
    <cfRule type="cellIs" dxfId="1687" priority="1730" stopIfTrue="1" operator="equal">
      <formula>"cf. Liste des applications"</formula>
    </cfRule>
    <cfRule type="cellIs" dxfId="1686" priority="1731" stopIfTrue="1" operator="equal">
      <formula>"A déterminer"</formula>
    </cfRule>
  </conditionalFormatting>
  <conditionalFormatting sqref="C48:J48">
    <cfRule type="cellIs" dxfId="1685" priority="1724" stopIfTrue="1" operator="equal">
      <formula>"cf. Liste des applications"</formula>
    </cfRule>
    <cfRule type="cellIs" dxfId="1684" priority="1725" stopIfTrue="1" operator="equal">
      <formula>"A déterminer"</formula>
    </cfRule>
  </conditionalFormatting>
  <conditionalFormatting sqref="C52:J53 C27:C28">
    <cfRule type="cellIs" dxfId="1683" priority="2579" stopIfTrue="1" operator="equal">
      <formula>"cf. Liste des applications"</formula>
    </cfRule>
  </conditionalFormatting>
  <conditionalFormatting sqref="C63:J65">
    <cfRule type="cellIs" dxfId="1682" priority="1383" stopIfTrue="1" operator="equal">
      <formula>"cf. Liste des applications"</formula>
    </cfRule>
    <cfRule type="cellIs" dxfId="1681" priority="1384" stopIfTrue="1" operator="equal">
      <formula>"A déterminer"</formula>
    </cfRule>
  </conditionalFormatting>
  <conditionalFormatting sqref="C66:J66 C69:C70">
    <cfRule type="cellIs" dxfId="1680" priority="497" stopIfTrue="1" operator="equal">
      <formula>"cf. Liste des applications"</formula>
    </cfRule>
    <cfRule type="cellIs" dxfId="1679" priority="498" stopIfTrue="1" operator="equal">
      <formula>"A déterminer"</formula>
    </cfRule>
  </conditionalFormatting>
  <conditionalFormatting sqref="C66:J66 C70">
    <cfRule type="cellIs" dxfId="1678" priority="493" stopIfTrue="1" operator="equal">
      <formula>"cf. Liste des applications"</formula>
    </cfRule>
    <cfRule type="cellIs" dxfId="1677" priority="494" stopIfTrue="1" operator="equal">
      <formula>"A déterminer"</formula>
    </cfRule>
    <cfRule type="cellIs" dxfId="1676" priority="495" stopIfTrue="1" operator="equal">
      <formula>"cf. Liste des applications"</formula>
    </cfRule>
    <cfRule type="cellIs" dxfId="1675" priority="496" stopIfTrue="1" operator="equal">
      <formula>"A déterminer"</formula>
    </cfRule>
  </conditionalFormatting>
  <conditionalFormatting sqref="C67:J68">
    <cfRule type="cellIs" dxfId="1674" priority="1349" stopIfTrue="1" operator="equal">
      <formula>"cf. Liste des applications"</formula>
    </cfRule>
    <cfRule type="cellIs" dxfId="1673" priority="1350" stopIfTrue="1" operator="equal">
      <formula>"A déterminer"</formula>
    </cfRule>
  </conditionalFormatting>
  <conditionalFormatting sqref="C73:J73 C75:J75 C36:J36 C47:J47">
    <cfRule type="cellIs" dxfId="1672" priority="2001" stopIfTrue="1" operator="equal">
      <formula>"cf. Liste des applications"</formula>
    </cfRule>
  </conditionalFormatting>
  <conditionalFormatting sqref="C73:J73 C75:J75">
    <cfRule type="cellIs" dxfId="1671" priority="1994" stopIfTrue="1" operator="equal">
      <formula>"A déterminer"</formula>
    </cfRule>
  </conditionalFormatting>
  <conditionalFormatting sqref="C73:J73">
    <cfRule type="cellIs" dxfId="1670" priority="1207" stopIfTrue="1" operator="equal">
      <formula>"cf. Liste des applications"</formula>
    </cfRule>
    <cfRule type="cellIs" dxfId="1669" priority="1208" stopIfTrue="1" operator="equal">
      <formula>"A déterminer"</formula>
    </cfRule>
  </conditionalFormatting>
  <conditionalFormatting sqref="C75:J75">
    <cfRule type="cellIs" dxfId="1668" priority="1115" stopIfTrue="1" operator="equal">
      <formula>"cf. Liste des applications"</formula>
    </cfRule>
    <cfRule type="cellIs" dxfId="1667" priority="1116" stopIfTrue="1" operator="equal">
      <formula>"A déterminer"</formula>
    </cfRule>
  </conditionalFormatting>
  <conditionalFormatting sqref="D49:F49 I49:J49">
    <cfRule type="cellIs" dxfId="1666" priority="591" stopIfTrue="1" operator="equal">
      <formula>"A déterminer"</formula>
    </cfRule>
  </conditionalFormatting>
  <conditionalFormatting sqref="D50:F51 I50:J51 D54:F55 I54:J55 D56:J56">
    <cfRule type="cellIs" dxfId="1665" priority="3653" stopIfTrue="1" operator="equal">
      <formula>"A déterminer"</formula>
    </cfRule>
  </conditionalFormatting>
  <conditionalFormatting sqref="D22:I25">
    <cfRule type="cellIs" dxfId="1664" priority="3203" stopIfTrue="1" operator="equal">
      <formula>"cf. Liste des applications"</formula>
    </cfRule>
    <cfRule type="cellIs" dxfId="1663" priority="3204" stopIfTrue="1" operator="equal">
      <formula>"A déterminer"</formula>
    </cfRule>
  </conditionalFormatting>
  <conditionalFormatting sqref="D31:J31">
    <cfRule type="cellIs" dxfId="1662" priority="3430" stopIfTrue="1" operator="equal">
      <formula>"cf. Liste des applications"</formula>
    </cfRule>
    <cfRule type="cellIs" dxfId="1661" priority="3431" stopIfTrue="1" operator="equal">
      <formula>"A déterminer"</formula>
    </cfRule>
  </conditionalFormatting>
  <conditionalFormatting sqref="D32:J32">
    <cfRule type="cellIs" dxfId="1660" priority="637" stopIfTrue="1" operator="equal">
      <formula>"cf. Liste des applications"</formula>
    </cfRule>
    <cfRule type="cellIs" dxfId="1659" priority="638" stopIfTrue="1" operator="equal">
      <formula>"A déterminer"</formula>
    </cfRule>
  </conditionalFormatting>
  <conditionalFormatting sqref="D33:J33">
    <cfRule type="cellIs" dxfId="1658" priority="3566" stopIfTrue="1" operator="equal">
      <formula>"cf. Liste des applications"</formula>
    </cfRule>
    <cfRule type="cellIs" dxfId="1657" priority="3567" stopIfTrue="1" operator="equal">
      <formula>"A déterminer"</formula>
    </cfRule>
  </conditionalFormatting>
  <conditionalFormatting sqref="D34:J38">
    <cfRule type="cellIs" dxfId="1656" priority="1929" stopIfTrue="1" operator="equal">
      <formula>"cf. Liste des applications"</formula>
    </cfRule>
    <cfRule type="cellIs" dxfId="1655" priority="1930" stopIfTrue="1" operator="equal">
      <formula>"A déterminer"</formula>
    </cfRule>
  </conditionalFormatting>
  <conditionalFormatting sqref="D39:J39">
    <cfRule type="cellIs" dxfId="1654" priority="622" stopIfTrue="1" operator="equal">
      <formula>"cf. Liste des applications"</formula>
    </cfRule>
    <cfRule type="cellIs" dxfId="1653" priority="623" stopIfTrue="1" operator="equal">
      <formula>"A déterminer"</formula>
    </cfRule>
  </conditionalFormatting>
  <conditionalFormatting sqref="D40:J40">
    <cfRule type="cellIs" dxfId="1652" priority="1955" stopIfTrue="1" operator="equal">
      <formula>"cf. Liste des applications"</formula>
    </cfRule>
    <cfRule type="cellIs" dxfId="1651" priority="1956" stopIfTrue="1" operator="equal">
      <formula>"A déterminer"</formula>
    </cfRule>
  </conditionalFormatting>
  <conditionalFormatting sqref="D41:J41">
    <cfRule type="cellIs" dxfId="1650" priority="883" stopIfTrue="1" operator="equal">
      <formula>"A déterminer"</formula>
    </cfRule>
  </conditionalFormatting>
  <conditionalFormatting sqref="D41:J45">
    <cfRule type="cellIs" dxfId="1649" priority="882" stopIfTrue="1" operator="equal">
      <formula>"cf. Liste des applications"</formula>
    </cfRule>
  </conditionalFormatting>
  <conditionalFormatting sqref="D42:J45">
    <cfRule type="cellIs" dxfId="1648" priority="1804" stopIfTrue="1" operator="equal">
      <formula>"cf. Liste des applications"</formula>
    </cfRule>
    <cfRule type="cellIs" dxfId="1647" priority="1805" stopIfTrue="1" operator="equal">
      <formula>"A déterminer"</formula>
    </cfRule>
  </conditionalFormatting>
  <conditionalFormatting sqref="D52:J53">
    <cfRule type="cellIs" dxfId="1646" priority="600" stopIfTrue="1" operator="equal">
      <formula>"cf. Liste des applications"</formula>
    </cfRule>
    <cfRule type="cellIs" dxfId="1645" priority="601" stopIfTrue="1" operator="equal">
      <formula>"A déterminer"</formula>
    </cfRule>
  </conditionalFormatting>
  <conditionalFormatting sqref="D57:J57 D59:J59">
    <cfRule type="cellIs" dxfId="1644" priority="1571" stopIfTrue="1" operator="equal">
      <formula>"cf. Liste des applications"</formula>
    </cfRule>
    <cfRule type="cellIs" dxfId="1643" priority="1572" stopIfTrue="1" operator="equal">
      <formula>"A déterminer"</formula>
    </cfRule>
  </conditionalFormatting>
  <conditionalFormatting sqref="D61:J61">
    <cfRule type="cellIs" dxfId="1642" priority="913" stopIfTrue="1" operator="equal">
      <formula>"cf. Liste des applications"</formula>
    </cfRule>
    <cfRule type="cellIs" dxfId="1641" priority="914" stopIfTrue="1" operator="equal">
      <formula>"A déterminer"</formula>
    </cfRule>
  </conditionalFormatting>
  <conditionalFormatting sqref="D62:J63">
    <cfRule type="cellIs" dxfId="1640" priority="1463" stopIfTrue="1" operator="equal">
      <formula>"cf. Liste des applications"</formula>
    </cfRule>
    <cfRule type="cellIs" dxfId="1639" priority="1464" stopIfTrue="1" operator="equal">
      <formula>"A déterminer"</formula>
    </cfRule>
  </conditionalFormatting>
  <conditionalFormatting sqref="D65:J65">
    <cfRule type="cellIs" dxfId="1638" priority="1371" stopIfTrue="1" operator="equal">
      <formula>"cf. Liste des applications"</formula>
    </cfRule>
    <cfRule type="cellIs" dxfId="1637" priority="1372" stopIfTrue="1" operator="equal">
      <formula>"A déterminer"</formula>
    </cfRule>
  </conditionalFormatting>
  <conditionalFormatting sqref="D68:J71">
    <cfRule type="cellIs" dxfId="1636" priority="921" stopIfTrue="1" operator="equal">
      <formula>"cf. Liste des applications"</formula>
    </cfRule>
    <cfRule type="cellIs" dxfId="1635" priority="922" stopIfTrue="1" operator="equal">
      <formula>"A déterminer"</formula>
    </cfRule>
  </conditionalFormatting>
  <conditionalFormatting sqref="D72:J73">
    <cfRule type="cellIs" dxfId="1634" priority="1233" stopIfTrue="1" operator="equal">
      <formula>"cf. Liste des applications"</formula>
    </cfRule>
    <cfRule type="cellIs" dxfId="1633" priority="1234" stopIfTrue="1" operator="equal">
      <formula>"A déterminer"</formula>
    </cfRule>
  </conditionalFormatting>
  <conditionalFormatting sqref="D74:J75">
    <cfRule type="cellIs" dxfId="1632" priority="1169" stopIfTrue="1" operator="equal">
      <formula>"cf. Liste des applications"</formula>
    </cfRule>
    <cfRule type="cellIs" dxfId="1631" priority="1170" stopIfTrue="1" operator="equal">
      <formula>"A déterminer"</formula>
    </cfRule>
  </conditionalFormatting>
  <conditionalFormatting sqref="D76:J76 G77:J78">
    <cfRule type="cellIs" dxfId="1630" priority="1139" stopIfTrue="1" operator="equal">
      <formula>"cf. Liste des applications"</formula>
    </cfRule>
    <cfRule type="cellIs" dxfId="1629" priority="1140" stopIfTrue="1" operator="equal">
      <formula>"A déterminer"</formula>
    </cfRule>
  </conditionalFormatting>
  <conditionalFormatting sqref="D79:J82">
    <cfRule type="cellIs" dxfId="1628" priority="1011" stopIfTrue="1" operator="equal">
      <formula>"cf. Liste des applications"</formula>
    </cfRule>
    <cfRule type="cellIs" dxfId="1627" priority="1012" stopIfTrue="1" operator="equal">
      <formula>"A déterminer"</formula>
    </cfRule>
  </conditionalFormatting>
  <conditionalFormatting sqref="D80:J80 C82:J82">
    <cfRule type="cellIs" dxfId="1626" priority="987" stopIfTrue="1" operator="equal">
      <formula>"cf. Liste des applications"</formula>
    </cfRule>
    <cfRule type="cellIs" dxfId="1625" priority="988" stopIfTrue="1" operator="equal">
      <formula>"A déterminer"</formula>
    </cfRule>
  </conditionalFormatting>
  <conditionalFormatting sqref="D83:J83">
    <cfRule type="cellIs" dxfId="1624" priority="184" stopIfTrue="1" operator="equal">
      <formula>"cf. Liste des applications"</formula>
    </cfRule>
    <cfRule type="cellIs" dxfId="1623" priority="185" stopIfTrue="1" operator="equal">
      <formula>"A déterminer"</formula>
    </cfRule>
  </conditionalFormatting>
  <conditionalFormatting sqref="D84:J84">
    <cfRule type="cellIs" dxfId="1622" priority="220" stopIfTrue="1" operator="equal">
      <formula>"cf. Liste des applications"</formula>
    </cfRule>
    <cfRule type="cellIs" dxfId="1621" priority="221" stopIfTrue="1" operator="equal">
      <formula>"A déterminer"</formula>
    </cfRule>
  </conditionalFormatting>
  <conditionalFormatting sqref="D85:J85">
    <cfRule type="cellIs" dxfId="1620" priority="125" stopIfTrue="1" operator="equal">
      <formula>"cf. Liste des applications"</formula>
    </cfRule>
    <cfRule type="cellIs" dxfId="1619" priority="126" stopIfTrue="1" operator="equal">
      <formula>"A déterminer"</formula>
    </cfRule>
  </conditionalFormatting>
  <conditionalFormatting sqref="D86:J86">
    <cfRule type="cellIs" dxfId="1618" priority="49" stopIfTrue="1" operator="equal">
      <formula>"cf. Liste des applications"</formula>
    </cfRule>
    <cfRule type="cellIs" dxfId="1617" priority="50" stopIfTrue="1" operator="equal">
      <formula>"A déterminer"</formula>
    </cfRule>
  </conditionalFormatting>
  <conditionalFormatting sqref="D87:J87">
    <cfRule type="cellIs" dxfId="1616" priority="15" stopIfTrue="1" operator="equal">
      <formula>"cf. Liste des applications"</formula>
    </cfRule>
    <cfRule type="cellIs" dxfId="1615" priority="16" stopIfTrue="1" operator="equal">
      <formula>"A déterminer"</formula>
    </cfRule>
  </conditionalFormatting>
  <conditionalFormatting sqref="E25">
    <cfRule type="cellIs" dxfId="1614" priority="943" stopIfTrue="1" operator="equal">
      <formula>"cf. Liste des applications"</formula>
    </cfRule>
    <cfRule type="cellIs" dxfId="1613" priority="944" stopIfTrue="1" operator="equal">
      <formula>"A déterminer"</formula>
    </cfRule>
  </conditionalFormatting>
  <conditionalFormatting sqref="E55">
    <cfRule type="cellIs" dxfId="1612" priority="925" stopIfTrue="1" operator="equal">
      <formula>"cf. Liste des applications"</formula>
    </cfRule>
    <cfRule type="cellIs" dxfId="1611" priority="926" stopIfTrue="1" operator="equal">
      <formula>"A déterminer"</formula>
    </cfRule>
    <cfRule type="cellIs" dxfId="1610" priority="927" stopIfTrue="1" operator="equal">
      <formula>"cf. Liste des applications"</formula>
    </cfRule>
    <cfRule type="cellIs" dxfId="1609" priority="928" stopIfTrue="1" operator="equal">
      <formula>"A déterminer"</formula>
    </cfRule>
    <cfRule type="cellIs" dxfId="1608" priority="929" stopIfTrue="1" operator="equal">
      <formula>"cf. Liste des applications"</formula>
    </cfRule>
    <cfRule type="cellIs" dxfId="1607" priority="930" stopIfTrue="1" operator="equal">
      <formula>"A déterminer"</formula>
    </cfRule>
  </conditionalFormatting>
  <conditionalFormatting sqref="E70:E71">
    <cfRule type="cellIs" dxfId="1606" priority="917" stopIfTrue="1" operator="equal">
      <formula>"cf. Liste des applications"</formula>
    </cfRule>
    <cfRule type="cellIs" dxfId="1605" priority="918" stopIfTrue="1" operator="equal">
      <formula>"A déterminer"</formula>
    </cfRule>
    <cfRule type="cellIs" dxfId="1604" priority="919" stopIfTrue="1" operator="equal">
      <formula>"cf. Liste des applications"</formula>
    </cfRule>
    <cfRule type="cellIs" dxfId="1603" priority="920" stopIfTrue="1" operator="equal">
      <formula>"A déterminer"</formula>
    </cfRule>
  </conditionalFormatting>
  <conditionalFormatting sqref="F23">
    <cfRule type="cellIs" dxfId="1602" priority="2746" stopIfTrue="1" operator="equal">
      <formula>"cf. Liste des applications"</formula>
    </cfRule>
    <cfRule type="cellIs" dxfId="1601" priority="2747" stopIfTrue="1" operator="equal">
      <formula>"A déterminer"</formula>
    </cfRule>
    <cfRule type="cellIs" dxfId="1600" priority="2748" stopIfTrue="1" operator="equal">
      <formula>"cf. Liste des applications"</formula>
    </cfRule>
    <cfRule type="cellIs" dxfId="1599" priority="2749" stopIfTrue="1" operator="equal">
      <formula>"A déterminer"</formula>
    </cfRule>
    <cfRule type="cellIs" dxfId="1598" priority="2809" stopIfTrue="1" operator="equal">
      <formula>"cf. Liste des applications"</formula>
    </cfRule>
    <cfRule type="cellIs" dxfId="1597" priority="2810" stopIfTrue="1" operator="equal">
      <formula>"A déterminer"</formula>
    </cfRule>
  </conditionalFormatting>
  <conditionalFormatting sqref="F27:F28">
    <cfRule type="cellIs" dxfId="1596" priority="2583" stopIfTrue="1" operator="equal">
      <formula>"A déterminer"</formula>
    </cfRule>
  </conditionalFormatting>
  <conditionalFormatting sqref="F77:F78">
    <cfRule type="cellIs" dxfId="1595" priority="953" stopIfTrue="1" operator="equal">
      <formula>"cf. Liste des applications"</formula>
    </cfRule>
    <cfRule type="cellIs" dxfId="1594" priority="954" stopIfTrue="1" operator="equal">
      <formula>"A déterminer"</formula>
    </cfRule>
    <cfRule type="cellIs" dxfId="1593" priority="955" stopIfTrue="1" operator="equal">
      <formula>"cf. Liste des applications"</formula>
    </cfRule>
    <cfRule type="cellIs" dxfId="1592" priority="956" stopIfTrue="1" operator="equal">
      <formula>"A déterminer"</formula>
    </cfRule>
  </conditionalFormatting>
  <conditionalFormatting sqref="F49:G49">
    <cfRule type="cellIs" dxfId="1591" priority="559" stopIfTrue="1" operator="equal">
      <formula>"cf. Liste des applications"</formula>
    </cfRule>
    <cfRule type="cellIs" dxfId="1590" priority="560" stopIfTrue="1" operator="equal">
      <formula>"A déterminer"</formula>
    </cfRule>
  </conditionalFormatting>
  <conditionalFormatting sqref="F50:G50">
    <cfRule type="cellIs" dxfId="1589" priority="2132" stopIfTrue="1" operator="equal">
      <formula>"cf. Liste des applications"</formula>
    </cfRule>
    <cfRule type="cellIs" dxfId="1588" priority="2134" stopIfTrue="1" operator="equal">
      <formula>"A déterminer"</formula>
    </cfRule>
  </conditionalFormatting>
  <conditionalFormatting sqref="F55:G55">
    <cfRule type="cellIs" dxfId="1587" priority="937" stopIfTrue="1" operator="equal">
      <formula>"cf. Liste des applications"</formula>
    </cfRule>
  </conditionalFormatting>
  <conditionalFormatting sqref="F55:H55">
    <cfRule type="cellIs" dxfId="1586" priority="938" stopIfTrue="1" operator="equal">
      <formula>"A déterminer"</formula>
    </cfRule>
  </conditionalFormatting>
  <conditionalFormatting sqref="F70:J70">
    <cfRule type="cellIs" dxfId="1585" priority="522" stopIfTrue="1" operator="equal">
      <formula>"cf. Liste des applications"</formula>
    </cfRule>
    <cfRule type="cellIs" dxfId="1584" priority="523" stopIfTrue="1" operator="equal">
      <formula>"A déterminer"</formula>
    </cfRule>
  </conditionalFormatting>
  <conditionalFormatting sqref="F70:J71">
    <cfRule type="cellIs" dxfId="1583" priority="1321" stopIfTrue="1" operator="equal">
      <formula>"cf. Liste des applications"</formula>
    </cfRule>
    <cfRule type="cellIs" dxfId="1582" priority="1322" stopIfTrue="1" operator="equal">
      <formula>"A déterminer"</formula>
    </cfRule>
  </conditionalFormatting>
  <conditionalFormatting sqref="F71:J71">
    <cfRule type="cellIs" dxfId="1581" priority="1273" stopIfTrue="1" operator="equal">
      <formula>"cf. Liste des applications"</formula>
    </cfRule>
    <cfRule type="cellIs" dxfId="1580" priority="1274" stopIfTrue="1" operator="equal">
      <formula>"A déterminer"</formula>
    </cfRule>
  </conditionalFormatting>
  <conditionalFormatting sqref="F77:J78">
    <cfRule type="cellIs" dxfId="1579" priority="509" stopIfTrue="1" operator="equal">
      <formula>"cf. Liste des applications"</formula>
    </cfRule>
    <cfRule type="cellIs" dxfId="1578" priority="510" stopIfTrue="1" operator="equal">
      <formula>"A déterminer"</formula>
    </cfRule>
  </conditionalFormatting>
  <conditionalFormatting sqref="G44">
    <cfRule type="cellIs" dxfId="1577" priority="723" stopIfTrue="1" operator="equal">
      <formula>"cf. Liste des applications"</formula>
    </cfRule>
    <cfRule type="cellIs" dxfId="1576" priority="724" stopIfTrue="1" operator="equal">
      <formula>"A déterminer"</formula>
    </cfRule>
    <cfRule type="cellIs" dxfId="1575" priority="725" stopIfTrue="1" operator="equal">
      <formula>"cf. Liste des applications"</formula>
    </cfRule>
    <cfRule type="cellIs" dxfId="1574" priority="727" stopIfTrue="1" operator="equal">
      <formula>"A déterminer"</formula>
    </cfRule>
    <cfRule type="cellIs" dxfId="1573" priority="728" stopIfTrue="1" operator="equal">
      <formula>"cf. Liste des applications"</formula>
    </cfRule>
    <cfRule type="cellIs" dxfId="1572" priority="729" stopIfTrue="1" operator="equal">
      <formula>"A déterminer"</formula>
    </cfRule>
    <cfRule type="cellIs" dxfId="1571" priority="730" stopIfTrue="1" operator="equal">
      <formula>"cf. Liste des applications"</formula>
    </cfRule>
    <cfRule type="cellIs" dxfId="1570" priority="731" stopIfTrue="1" operator="equal">
      <formula>"A déterminer"</formula>
    </cfRule>
    <cfRule type="cellIs" dxfId="1569" priority="732" stopIfTrue="1" operator="equal">
      <formula>"cf. Liste des applications"</formula>
    </cfRule>
    <cfRule type="cellIs" dxfId="1568" priority="733" stopIfTrue="1" operator="equal">
      <formula>"A déterminer"</formula>
    </cfRule>
    <cfRule type="cellIs" dxfId="1567" priority="734" stopIfTrue="1" operator="equal">
      <formula>"cf. Liste des applications"</formula>
    </cfRule>
    <cfRule type="cellIs" dxfId="1566" priority="735" stopIfTrue="1" operator="equal">
      <formula>"A déterminer"</formula>
    </cfRule>
    <cfRule type="cellIs" dxfId="1565" priority="736" stopIfTrue="1" operator="equal">
      <formula>"cf. Liste des applications"</formula>
    </cfRule>
    <cfRule type="cellIs" dxfId="1564" priority="737" stopIfTrue="1" operator="equal">
      <formula>"A déterminer"</formula>
    </cfRule>
  </conditionalFormatting>
  <conditionalFormatting sqref="G54">
    <cfRule type="cellIs" dxfId="1563" priority="891" stopIfTrue="1" operator="equal">
      <formula>"cf. Liste des applications"</formula>
    </cfRule>
    <cfRule type="cellIs" dxfId="1562" priority="892" stopIfTrue="1" operator="equal">
      <formula>"A déterminer"</formula>
    </cfRule>
    <cfRule type="cellIs" dxfId="1561" priority="893" stopIfTrue="1" operator="equal">
      <formula>"cf. Liste des applications"</formula>
    </cfRule>
    <cfRule type="cellIs" dxfId="1560" priority="894" stopIfTrue="1" operator="equal">
      <formula>"A déterminer"</formula>
    </cfRule>
  </conditionalFormatting>
  <conditionalFormatting sqref="G54:G55">
    <cfRule type="cellIs" dxfId="1559" priority="897" stopIfTrue="1" operator="equal">
      <formula>"cf. Liste des applications"</formula>
    </cfRule>
    <cfRule type="cellIs" dxfId="1558" priority="898" stopIfTrue="1" operator="equal">
      <formula>"A déterminer"</formula>
    </cfRule>
  </conditionalFormatting>
  <conditionalFormatting sqref="G55">
    <cfRule type="cellIs" dxfId="1557" priority="933" stopIfTrue="1" operator="equal">
      <formula>"cf. Liste des applications"</formula>
    </cfRule>
    <cfRule type="cellIs" dxfId="1556" priority="934" stopIfTrue="1" operator="equal">
      <formula>"A déterminer"</formula>
    </cfRule>
    <cfRule type="cellIs" dxfId="1555" priority="935" stopIfTrue="1" operator="equal">
      <formula>"cf. Liste des applications"</formula>
    </cfRule>
    <cfRule type="cellIs" dxfId="1554" priority="936" stopIfTrue="1" operator="equal">
      <formula>"A déterminer"</formula>
    </cfRule>
  </conditionalFormatting>
  <conditionalFormatting sqref="G58">
    <cfRule type="cellIs" dxfId="1553" priority="709" stopIfTrue="1" operator="equal">
      <formula>"A déterminer"</formula>
    </cfRule>
    <cfRule type="cellIs" dxfId="1552" priority="710" stopIfTrue="1" operator="equal">
      <formula>"cf. Liste des applications"</formula>
    </cfRule>
    <cfRule type="cellIs" dxfId="1551" priority="712" stopIfTrue="1" operator="equal">
      <formula>"A déterminer"</formula>
    </cfRule>
    <cfRule type="cellIs" dxfId="1550" priority="713" stopIfTrue="1" operator="equal">
      <formula>"cf. Liste des applications"</formula>
    </cfRule>
    <cfRule type="cellIs" dxfId="1549" priority="714" stopIfTrue="1" operator="equal">
      <formula>"A déterminer"</formula>
    </cfRule>
    <cfRule type="cellIs" dxfId="1548" priority="715" stopIfTrue="1" operator="equal">
      <formula>"cf. Liste des applications"</formula>
    </cfRule>
    <cfRule type="cellIs" dxfId="1547" priority="716" stopIfTrue="1" operator="equal">
      <formula>"A déterminer"</formula>
    </cfRule>
    <cfRule type="cellIs" dxfId="1546" priority="717" stopIfTrue="1" operator="equal">
      <formula>"cf. Liste des applications"</formula>
    </cfRule>
    <cfRule type="cellIs" dxfId="1545" priority="718" stopIfTrue="1" operator="equal">
      <formula>"A déterminer"</formula>
    </cfRule>
    <cfRule type="cellIs" dxfId="1544" priority="719" stopIfTrue="1" operator="equal">
      <formula>"cf. Liste des applications"</formula>
    </cfRule>
    <cfRule type="cellIs" dxfId="1543" priority="720" stopIfTrue="1" operator="equal">
      <formula>"A déterminer"</formula>
    </cfRule>
    <cfRule type="cellIs" dxfId="1542" priority="721" stopIfTrue="1" operator="equal">
      <formula>"cf. Liste des applications"</formula>
    </cfRule>
    <cfRule type="cellIs" dxfId="1541" priority="722" stopIfTrue="1" operator="equal">
      <formula>"A déterminer"</formula>
    </cfRule>
  </conditionalFormatting>
  <conditionalFormatting sqref="G61">
    <cfRule type="cellIs" dxfId="1540" priority="909" stopIfTrue="1" operator="equal">
      <formula>"cf. Liste des applications"</formula>
    </cfRule>
    <cfRule type="cellIs" dxfId="1539" priority="910" stopIfTrue="1" operator="equal">
      <formula>"A déterminer"</formula>
    </cfRule>
    <cfRule type="cellIs" dxfId="1538" priority="911" stopIfTrue="1" operator="equal">
      <formula>"cf. Liste des applications"</formula>
    </cfRule>
    <cfRule type="cellIs" dxfId="1537" priority="912" stopIfTrue="1" operator="equal">
      <formula>"A déterminer"</formula>
    </cfRule>
  </conditionalFormatting>
  <conditionalFormatting sqref="G64">
    <cfRule type="cellIs" dxfId="1536" priority="695" stopIfTrue="1" operator="equal">
      <formula>"cf. Liste des applications"</formula>
    </cfRule>
    <cfRule type="cellIs" dxfId="1535" priority="697" stopIfTrue="1" operator="equal">
      <formula>"A déterminer"</formula>
    </cfRule>
    <cfRule type="cellIs" dxfId="1534" priority="698" stopIfTrue="1" operator="equal">
      <formula>"cf. Liste des applications"</formula>
    </cfRule>
    <cfRule type="cellIs" dxfId="1533" priority="699" stopIfTrue="1" operator="equal">
      <formula>"A déterminer"</formula>
    </cfRule>
    <cfRule type="cellIs" dxfId="1532" priority="700" stopIfTrue="1" operator="equal">
      <formula>"cf. Liste des applications"</formula>
    </cfRule>
    <cfRule type="cellIs" dxfId="1531" priority="701" stopIfTrue="1" operator="equal">
      <formula>"A déterminer"</formula>
    </cfRule>
    <cfRule type="cellIs" dxfId="1530" priority="702" stopIfTrue="1" operator="equal">
      <formula>"cf. Liste des applications"</formula>
    </cfRule>
    <cfRule type="cellIs" dxfId="1529" priority="703" stopIfTrue="1" operator="equal">
      <formula>"A déterminer"</formula>
    </cfRule>
    <cfRule type="cellIs" dxfId="1528" priority="704" stopIfTrue="1" operator="equal">
      <formula>"cf. Liste des applications"</formula>
    </cfRule>
    <cfRule type="cellIs" dxfId="1527" priority="705" stopIfTrue="1" operator="equal">
      <formula>"A déterminer"</formula>
    </cfRule>
    <cfRule type="cellIs" dxfId="1526" priority="706" stopIfTrue="1" operator="equal">
      <formula>"cf. Liste des applications"</formula>
    </cfRule>
    <cfRule type="cellIs" dxfId="1525" priority="707" stopIfTrue="1" operator="equal">
      <formula>"A déterminer"</formula>
    </cfRule>
  </conditionalFormatting>
  <conditionalFormatting sqref="G69">
    <cfRule type="cellIs" dxfId="1524" priority="678" stopIfTrue="1" operator="equal">
      <formula>"cf. Liste des applications"</formula>
    </cfRule>
    <cfRule type="cellIs" dxfId="1523" priority="679" stopIfTrue="1" operator="equal">
      <formula>"A déterminer"</formula>
    </cfRule>
    <cfRule type="cellIs" dxfId="1522" priority="680" stopIfTrue="1" operator="equal">
      <formula>"cf. Liste des applications"</formula>
    </cfRule>
    <cfRule type="cellIs" dxfId="1521" priority="682" stopIfTrue="1" operator="equal">
      <formula>"A déterminer"</formula>
    </cfRule>
    <cfRule type="cellIs" dxfId="1520" priority="683" stopIfTrue="1" operator="equal">
      <formula>"cf. Liste des applications"</formula>
    </cfRule>
    <cfRule type="cellIs" dxfId="1519" priority="684" stopIfTrue="1" operator="equal">
      <formula>"A déterminer"</formula>
    </cfRule>
    <cfRule type="cellIs" dxfId="1518" priority="685" stopIfTrue="1" operator="equal">
      <formula>"cf. Liste des applications"</formula>
    </cfRule>
    <cfRule type="cellIs" dxfId="1517" priority="686" stopIfTrue="1" operator="equal">
      <formula>"A déterminer"</formula>
    </cfRule>
    <cfRule type="cellIs" dxfId="1516" priority="687" stopIfTrue="1" operator="equal">
      <formula>"cf. Liste des applications"</formula>
    </cfRule>
    <cfRule type="cellIs" dxfId="1515" priority="688" stopIfTrue="1" operator="equal">
      <formula>"A déterminer"</formula>
    </cfRule>
    <cfRule type="cellIs" dxfId="1514" priority="689" stopIfTrue="1" operator="equal">
      <formula>"cf. Liste des applications"</formula>
    </cfRule>
    <cfRule type="cellIs" dxfId="1513" priority="690" stopIfTrue="1" operator="equal">
      <formula>"A déterminer"</formula>
    </cfRule>
    <cfRule type="cellIs" dxfId="1512" priority="691" stopIfTrue="1" operator="equal">
      <formula>"cf. Liste des applications"</formula>
    </cfRule>
    <cfRule type="cellIs" dxfId="1511" priority="692" stopIfTrue="1" operator="equal">
      <formula>"A déterminer"</formula>
    </cfRule>
  </conditionalFormatting>
  <conditionalFormatting sqref="G15:H15">
    <cfRule type="cellIs" dxfId="1510" priority="78" stopIfTrue="1" operator="equal">
      <formula>"A déterminer"</formula>
    </cfRule>
    <cfRule type="cellIs" dxfId="1509" priority="79" stopIfTrue="1" operator="equal">
      <formula>"cf. Liste des applications"</formula>
    </cfRule>
  </conditionalFormatting>
  <conditionalFormatting sqref="G22:H22">
    <cfRule type="cellIs" dxfId="1508" priority="781" stopIfTrue="1" operator="equal">
      <formula>"cf. Liste des applications"</formula>
    </cfRule>
    <cfRule type="cellIs" dxfId="1507" priority="782" stopIfTrue="1" operator="equal">
      <formula>"A déterminer"</formula>
    </cfRule>
    <cfRule type="cellIs" dxfId="1506" priority="783" stopIfTrue="1" operator="equal">
      <formula>"cf. Liste des applications"</formula>
    </cfRule>
  </conditionalFormatting>
  <conditionalFormatting sqref="G22:H23">
    <cfRule type="cellIs" dxfId="1505" priority="2815" stopIfTrue="1" operator="equal">
      <formula>"cf. Liste des applications"</formula>
    </cfRule>
    <cfRule type="cellIs" dxfId="1504" priority="2816" stopIfTrue="1" operator="equal">
      <formula>"A déterminer"</formula>
    </cfRule>
  </conditionalFormatting>
  <conditionalFormatting sqref="G24:H25">
    <cfRule type="cellIs" dxfId="1503" priority="2659" stopIfTrue="1" operator="equal">
      <formula>"cf. Liste des applications"</formula>
    </cfRule>
    <cfRule type="cellIs" dxfId="1502" priority="2660" stopIfTrue="1" operator="equal">
      <formula>"A déterminer"</formula>
    </cfRule>
  </conditionalFormatting>
  <conditionalFormatting sqref="G25:H25">
    <cfRule type="cellIs" dxfId="1501" priority="941" stopIfTrue="1" operator="equal">
      <formula>"cf. Liste des applications"</formula>
    </cfRule>
    <cfRule type="cellIs" dxfId="1500" priority="942" stopIfTrue="1" operator="equal">
      <formula>"A déterminer"</formula>
    </cfRule>
    <cfRule type="cellIs" dxfId="1499" priority="949" stopIfTrue="1" operator="equal">
      <formula>"cf. Liste des applications"</formula>
    </cfRule>
    <cfRule type="cellIs" dxfId="1498" priority="950" stopIfTrue="1" operator="equal">
      <formula>"A déterminer"</formula>
    </cfRule>
  </conditionalFormatting>
  <conditionalFormatting sqref="G30:H30">
    <cfRule type="cellIs" dxfId="1497" priority="2691" stopIfTrue="1" operator="equal">
      <formula>"cf. Liste des applications"</formula>
    </cfRule>
    <cfRule type="cellIs" dxfId="1496" priority="2692" stopIfTrue="1" operator="equal">
      <formula>"A déterminer"</formula>
    </cfRule>
  </conditionalFormatting>
  <conditionalFormatting sqref="G39:H39">
    <cfRule type="cellIs" dxfId="1495" priority="611" stopIfTrue="1" operator="equal">
      <formula>"cf. Liste des applications"</formula>
    </cfRule>
    <cfRule type="cellIs" dxfId="1494" priority="612" stopIfTrue="1" operator="equal">
      <formula>"A déterminer"</formula>
    </cfRule>
    <cfRule type="cellIs" dxfId="1493" priority="613" stopIfTrue="1" operator="equal">
      <formula>"cf. Liste des applications"</formula>
    </cfRule>
    <cfRule type="cellIs" dxfId="1492" priority="614" stopIfTrue="1" operator="equal">
      <formula>"A déterminer"</formula>
    </cfRule>
    <cfRule type="cellIs" dxfId="1491" priority="615" stopIfTrue="1" operator="equal">
      <formula>"cf. Liste des applications"</formula>
    </cfRule>
    <cfRule type="cellIs" dxfId="1490" priority="616" stopIfTrue="1" operator="equal">
      <formula>"A déterminer"</formula>
    </cfRule>
  </conditionalFormatting>
  <conditionalFormatting sqref="G39:H40">
    <cfRule type="cellIs" dxfId="1489" priority="617" stopIfTrue="1" operator="equal">
      <formula>"cf. Liste des applications"</formula>
    </cfRule>
    <cfRule type="cellIs" dxfId="1488" priority="618" stopIfTrue="1" operator="equal">
      <formula>"A déterminer"</formula>
    </cfRule>
  </conditionalFormatting>
  <conditionalFormatting sqref="G40:H40">
    <cfRule type="cellIs" dxfId="1487" priority="774" stopIfTrue="1" operator="equal">
      <formula>"cf. Liste des applications"</formula>
    </cfRule>
    <cfRule type="cellIs" dxfId="1486" priority="776" stopIfTrue="1" operator="equal">
      <formula>"A déterminer"</formula>
    </cfRule>
    <cfRule type="cellIs" dxfId="1485" priority="777" stopIfTrue="1" operator="equal">
      <formula>"cf. Liste des applications"</formula>
    </cfRule>
    <cfRule type="cellIs" dxfId="1484" priority="778" stopIfTrue="1" operator="equal">
      <formula>"A déterminer"</formula>
    </cfRule>
    <cfRule type="cellIs" dxfId="1483" priority="779" stopIfTrue="1" operator="equal">
      <formula>"cf. Liste des applications"</formula>
    </cfRule>
    <cfRule type="cellIs" dxfId="1482" priority="780" stopIfTrue="1" operator="equal">
      <formula>"A déterminer"</formula>
    </cfRule>
  </conditionalFormatting>
  <conditionalFormatting sqref="G46:H46">
    <cfRule type="cellIs" dxfId="1481" priority="899" stopIfTrue="1" operator="equal">
      <formula>"cf. Liste des applications"</formula>
    </cfRule>
    <cfRule type="cellIs" dxfId="1480" priority="900" stopIfTrue="1" operator="equal">
      <formula>"A déterminer"</formula>
    </cfRule>
    <cfRule type="cellIs" dxfId="1479" priority="901" stopIfTrue="1" operator="equal">
      <formula>"cf. Liste des applications"</formula>
    </cfRule>
    <cfRule type="cellIs" dxfId="1478" priority="902" stopIfTrue="1" operator="equal">
      <formula>"A déterminer"</formula>
    </cfRule>
    <cfRule type="cellIs" dxfId="1477" priority="903" stopIfTrue="1" operator="equal">
      <formula>"cf. Liste des applications"</formula>
    </cfRule>
    <cfRule type="cellIs" dxfId="1476" priority="904" stopIfTrue="1" operator="equal">
      <formula>"A déterminer"</formula>
    </cfRule>
  </conditionalFormatting>
  <conditionalFormatting sqref="G51:H51">
    <cfRule type="cellIs" dxfId="1475" priority="2108" stopIfTrue="1" operator="equal">
      <formula>"cf. Liste des applications"</formula>
    </cfRule>
    <cfRule type="cellIs" dxfId="1474" priority="2109" stopIfTrue="1" operator="equal">
      <formula>"A déterminer"</formula>
    </cfRule>
    <cfRule type="cellIs" dxfId="1473" priority="2110" stopIfTrue="1" operator="equal">
      <formula>"cf. Liste des applications"</formula>
    </cfRule>
    <cfRule type="cellIs" dxfId="1472" priority="2111" stopIfTrue="1" operator="equal">
      <formula>"A déterminer"</formula>
    </cfRule>
    <cfRule type="cellIs" dxfId="1471" priority="2112" stopIfTrue="1" operator="equal">
      <formula>"cf. Liste des applications"</formula>
    </cfRule>
    <cfRule type="cellIs" dxfId="1470" priority="2113" stopIfTrue="1" operator="equal">
      <formula>"A déterminer"</formula>
    </cfRule>
    <cfRule type="cellIs" dxfId="1469" priority="2114" stopIfTrue="1" operator="equal">
      <formula>"cf. Liste des applications"</formula>
    </cfRule>
    <cfRule type="cellIs" dxfId="1468" priority="2115" stopIfTrue="1" operator="equal">
      <formula>"A déterminer"</formula>
    </cfRule>
    <cfRule type="cellIs" dxfId="1467" priority="2116" stopIfTrue="1" operator="equal">
      <formula>"cf. Liste des applications"</formula>
    </cfRule>
    <cfRule type="cellIs" dxfId="1466" priority="2117" stopIfTrue="1" operator="equal">
      <formula>"A déterminer"</formula>
    </cfRule>
  </conditionalFormatting>
  <conditionalFormatting sqref="G54:H54">
    <cfRule type="cellIs" dxfId="1465" priority="895" stopIfTrue="1" operator="equal">
      <formula>"cf. Liste des applications"</formula>
    </cfRule>
    <cfRule type="cellIs" dxfId="1464" priority="896" stopIfTrue="1" operator="equal">
      <formula>"A déterminer"</formula>
    </cfRule>
  </conditionalFormatting>
  <conditionalFormatting sqref="G58:H58">
    <cfRule type="cellIs" dxfId="1463" priority="677" stopIfTrue="1" operator="equal">
      <formula>"cf. Liste des applications"</formula>
    </cfRule>
  </conditionalFormatting>
  <conditionalFormatting sqref="G62:H62">
    <cfRule type="cellIs" dxfId="1462" priority="1455" stopIfTrue="1" operator="equal">
      <formula>"cf. Liste des applications"</formula>
    </cfRule>
    <cfRule type="cellIs" dxfId="1461" priority="1456" stopIfTrue="1" operator="equal">
      <formula>"A déterminer"</formula>
    </cfRule>
    <cfRule type="cellIs" dxfId="1460" priority="1457" stopIfTrue="1" operator="equal">
      <formula>"cf. Liste des applications"</formula>
    </cfRule>
    <cfRule type="cellIs" dxfId="1459" priority="1458" stopIfTrue="1" operator="equal">
      <formula>"A déterminer"</formula>
    </cfRule>
    <cfRule type="cellIs" dxfId="1458" priority="1459" stopIfTrue="1" operator="equal">
      <formula>"cf. Liste des applications"</formula>
    </cfRule>
    <cfRule type="cellIs" dxfId="1457" priority="1460" stopIfTrue="1" operator="equal">
      <formula>"A déterminer"</formula>
    </cfRule>
    <cfRule type="cellIs" dxfId="1456" priority="1461" stopIfTrue="1" operator="equal">
      <formula>"cf. Liste des applications"</formula>
    </cfRule>
    <cfRule type="cellIs" dxfId="1455" priority="1462" stopIfTrue="1" operator="equal">
      <formula>"A déterminer"</formula>
    </cfRule>
  </conditionalFormatting>
  <conditionalFormatting sqref="G64:H64">
    <cfRule type="cellIs" dxfId="1454" priority="671" stopIfTrue="1" operator="equal">
      <formula>"cf. Liste des applications"</formula>
    </cfRule>
    <cfRule type="cellIs" dxfId="1453" priority="672" stopIfTrue="1" operator="equal">
      <formula>"A déterminer"</formula>
    </cfRule>
  </conditionalFormatting>
  <conditionalFormatting sqref="G71:H71">
    <cfRule type="cellIs" dxfId="1452" priority="357" stopIfTrue="1" operator="equal">
      <formula>"cf. Liste des applications"</formula>
    </cfRule>
    <cfRule type="cellIs" dxfId="1451" priority="358" stopIfTrue="1" operator="equal">
      <formula>"A déterminer"</formula>
    </cfRule>
    <cfRule type="cellIs" dxfId="1450" priority="359" stopIfTrue="1" operator="equal">
      <formula>"cf. Liste des applications"</formula>
    </cfRule>
    <cfRule type="cellIs" dxfId="1449" priority="360" stopIfTrue="1" operator="equal">
      <formula>"A déterminer"</formula>
    </cfRule>
    <cfRule type="cellIs" dxfId="1448" priority="361" stopIfTrue="1" operator="equal">
      <formula>"cf. Liste des applications"</formula>
    </cfRule>
    <cfRule type="cellIs" dxfId="1447" priority="362" stopIfTrue="1" operator="equal">
      <formula>"A déterminer"</formula>
    </cfRule>
  </conditionalFormatting>
  <conditionalFormatting sqref="G71:H72">
    <cfRule type="cellIs" dxfId="1446" priority="363" stopIfTrue="1" operator="equal">
      <formula>"cf. Liste des applications"</formula>
    </cfRule>
    <cfRule type="cellIs" dxfId="1445" priority="364" stopIfTrue="1" operator="equal">
      <formula>"A déterminer"</formula>
    </cfRule>
  </conditionalFormatting>
  <conditionalFormatting sqref="G72:H72">
    <cfRule type="cellIs" dxfId="1444" priority="1227" stopIfTrue="1" operator="equal">
      <formula>"cf. Liste des applications"</formula>
    </cfRule>
    <cfRule type="cellIs" dxfId="1443" priority="1228" stopIfTrue="1" operator="equal">
      <formula>"A déterminer"</formula>
    </cfRule>
    <cfRule type="cellIs" dxfId="1442" priority="1229" stopIfTrue="1" operator="equal">
      <formula>"cf. Liste des applications"</formula>
    </cfRule>
    <cfRule type="cellIs" dxfId="1441" priority="1230" stopIfTrue="1" operator="equal">
      <formula>"A déterminer"</formula>
    </cfRule>
    <cfRule type="cellIs" dxfId="1440" priority="1231" stopIfTrue="1" operator="equal">
      <formula>"cf. Liste des applications"</formula>
    </cfRule>
    <cfRule type="cellIs" dxfId="1439" priority="1232" stopIfTrue="1" operator="equal">
      <formula>"A déterminer"</formula>
    </cfRule>
  </conditionalFormatting>
  <conditionalFormatting sqref="G74:H74">
    <cfRule type="cellIs" dxfId="1438" priority="1161" stopIfTrue="1" operator="equal">
      <formula>"cf. Liste des applications"</formula>
    </cfRule>
    <cfRule type="cellIs" dxfId="1437" priority="1162" stopIfTrue="1" operator="equal">
      <formula>"A déterminer"</formula>
    </cfRule>
    <cfRule type="cellIs" dxfId="1436" priority="1163" stopIfTrue="1" operator="equal">
      <formula>"cf. Liste des applications"</formula>
    </cfRule>
    <cfRule type="cellIs" dxfId="1435" priority="1164" stopIfTrue="1" operator="equal">
      <formula>"A déterminer"</formula>
    </cfRule>
    <cfRule type="cellIs" dxfId="1434" priority="1165" stopIfTrue="1" operator="equal">
      <formula>"cf. Liste des applications"</formula>
    </cfRule>
    <cfRule type="cellIs" dxfId="1433" priority="1166" stopIfTrue="1" operator="equal">
      <formula>"A déterminer"</formula>
    </cfRule>
    <cfRule type="cellIs" dxfId="1432" priority="1167" stopIfTrue="1" operator="equal">
      <formula>"cf. Liste des applications"</formula>
    </cfRule>
    <cfRule type="cellIs" dxfId="1431" priority="1168" stopIfTrue="1" operator="equal">
      <formula>"A déterminer"</formula>
    </cfRule>
  </conditionalFormatting>
  <conditionalFormatting sqref="G76:H76">
    <cfRule type="cellIs" dxfId="1430" priority="1131" stopIfTrue="1" operator="equal">
      <formula>"cf. Liste des applications"</formula>
    </cfRule>
    <cfRule type="cellIs" dxfId="1429" priority="1132" stopIfTrue="1" operator="equal">
      <formula>"A déterminer"</formula>
    </cfRule>
    <cfRule type="cellIs" dxfId="1428" priority="1133" stopIfTrue="1" operator="equal">
      <formula>"cf. Liste des applications"</formula>
    </cfRule>
    <cfRule type="cellIs" dxfId="1427" priority="1134" stopIfTrue="1" operator="equal">
      <formula>"A déterminer"</formula>
    </cfRule>
    <cfRule type="cellIs" dxfId="1426" priority="1135" stopIfTrue="1" operator="equal">
      <formula>"cf. Liste des applications"</formula>
    </cfRule>
    <cfRule type="cellIs" dxfId="1425" priority="1136" stopIfTrue="1" operator="equal">
      <formula>"A déterminer"</formula>
    </cfRule>
    <cfRule type="cellIs" dxfId="1424" priority="1137" stopIfTrue="1" operator="equal">
      <formula>"cf. Liste des applications"</formula>
    </cfRule>
    <cfRule type="cellIs" dxfId="1423" priority="1138" stopIfTrue="1" operator="equal">
      <formula>"A déterminer"</formula>
    </cfRule>
  </conditionalFormatting>
  <conditionalFormatting sqref="G81:H81">
    <cfRule type="cellIs" dxfId="1422" priority="1005" stopIfTrue="1" operator="equal">
      <formula>"cf. Liste des applications"</formula>
    </cfRule>
    <cfRule type="cellIs" dxfId="1421" priority="1006" stopIfTrue="1" operator="equal">
      <formula>"A déterminer"</formula>
    </cfRule>
    <cfRule type="cellIs" dxfId="1420" priority="1007" stopIfTrue="1" operator="equal">
      <formula>"cf. Liste des applications"</formula>
    </cfRule>
    <cfRule type="cellIs" dxfId="1419" priority="1008" stopIfTrue="1" operator="equal">
      <formula>"A déterminer"</formula>
    </cfRule>
    <cfRule type="cellIs" dxfId="1418" priority="1009" stopIfTrue="1" operator="equal">
      <formula>"cf. Liste des applications"</formula>
    </cfRule>
    <cfRule type="cellIs" dxfId="1417" priority="1010" stopIfTrue="1" operator="equal">
      <formula>"A déterminer"</formula>
    </cfRule>
  </conditionalFormatting>
  <conditionalFormatting sqref="G83:H83">
    <cfRule type="cellIs" dxfId="1416" priority="177" stopIfTrue="1" operator="equal">
      <formula>"A déterminer"</formula>
    </cfRule>
    <cfRule type="cellIs" dxfId="1415" priority="178" stopIfTrue="1" operator="equal">
      <formula>"cf. Liste des applications"</formula>
    </cfRule>
    <cfRule type="cellIs" dxfId="1414" priority="179" stopIfTrue="1" operator="equal">
      <formula>"A déterminer"</formula>
    </cfRule>
    <cfRule type="cellIs" dxfId="1413" priority="180" stopIfTrue="1" operator="equal">
      <formula>"cf. Liste des applications"</formula>
    </cfRule>
    <cfRule type="cellIs" dxfId="1412" priority="181" stopIfTrue="1" operator="equal">
      <formula>"A déterminer"</formula>
    </cfRule>
    <cfRule type="cellIs" dxfId="1411" priority="182" stopIfTrue="1" operator="equal">
      <formula>"cf. Liste des applications"</formula>
    </cfRule>
  </conditionalFormatting>
  <conditionalFormatting sqref="G83:H84">
    <cfRule type="cellIs" dxfId="1410" priority="183" stopIfTrue="1" operator="equal">
      <formula>"A déterminer"</formula>
    </cfRule>
  </conditionalFormatting>
  <conditionalFormatting sqref="G84:H84">
    <cfRule type="cellIs" dxfId="1409" priority="214" stopIfTrue="1" operator="equal">
      <formula>"cf. Liste des applications"</formula>
    </cfRule>
    <cfRule type="cellIs" dxfId="1408" priority="215" stopIfTrue="1" operator="equal">
      <formula>"A déterminer"</formula>
    </cfRule>
    <cfRule type="cellIs" dxfId="1407" priority="216" stopIfTrue="1" operator="equal">
      <formula>"cf. Liste des applications"</formula>
    </cfRule>
    <cfRule type="cellIs" dxfId="1406" priority="217" stopIfTrue="1" operator="equal">
      <formula>"A déterminer"</formula>
    </cfRule>
    <cfRule type="cellIs" dxfId="1405" priority="218" stopIfTrue="1" operator="equal">
      <formula>"cf. Liste des applications"</formula>
    </cfRule>
    <cfRule type="cellIs" dxfId="1404" priority="219" stopIfTrue="1" operator="equal">
      <formula>"A déterminer"</formula>
    </cfRule>
  </conditionalFormatting>
  <conditionalFormatting sqref="G85:H85">
    <cfRule type="cellIs" dxfId="1403" priority="121" stopIfTrue="1" operator="equal">
      <formula>"cf. Liste des applications"</formula>
    </cfRule>
    <cfRule type="cellIs" dxfId="1402" priority="122" stopIfTrue="1" operator="equal">
      <formula>"A déterminer"</formula>
    </cfRule>
    <cfRule type="cellIs" dxfId="1401" priority="123" stopIfTrue="1" operator="equal">
      <formula>"cf. Liste des applications"</formula>
    </cfRule>
    <cfRule type="cellIs" dxfId="1400" priority="124" stopIfTrue="1" operator="equal">
      <formula>"A déterminer"</formula>
    </cfRule>
  </conditionalFormatting>
  <conditionalFormatting sqref="G85:H86">
    <cfRule type="cellIs" dxfId="1399" priority="47" stopIfTrue="1" operator="equal">
      <formula>"cf. Liste des applications"</formula>
    </cfRule>
    <cfRule type="cellIs" dxfId="1398" priority="48" stopIfTrue="1" operator="equal">
      <formula>"A déterminer"</formula>
    </cfRule>
  </conditionalFormatting>
  <conditionalFormatting sqref="G86:H86">
    <cfRule type="cellIs" dxfId="1397" priority="43" stopIfTrue="1" operator="equal">
      <formula>"cf. Liste des applications"</formula>
    </cfRule>
    <cfRule type="cellIs" dxfId="1396" priority="44" stopIfTrue="1" operator="equal">
      <formula>"A déterminer"</formula>
    </cfRule>
    <cfRule type="cellIs" dxfId="1395" priority="45" stopIfTrue="1" operator="equal">
      <formula>"cf. Liste des applications"</formula>
    </cfRule>
    <cfRule type="cellIs" dxfId="1394" priority="46" stopIfTrue="1" operator="equal">
      <formula>"A déterminer"</formula>
    </cfRule>
  </conditionalFormatting>
  <conditionalFormatting sqref="G86:H87">
    <cfRule type="cellIs" dxfId="1393" priority="13" stopIfTrue="1" operator="equal">
      <formula>"cf. Liste des applications"</formula>
    </cfRule>
    <cfRule type="cellIs" dxfId="1392" priority="14" stopIfTrue="1" operator="equal">
      <formula>"A déterminer"</formula>
    </cfRule>
  </conditionalFormatting>
  <conditionalFormatting sqref="G87:H87">
    <cfRule type="cellIs" dxfId="1391" priority="10" stopIfTrue="1" operator="equal">
      <formula>"A déterminer"</formula>
    </cfRule>
    <cfRule type="cellIs" dxfId="1390" priority="11" stopIfTrue="1" operator="equal">
      <formula>"cf. Liste des applications"</formula>
    </cfRule>
    <cfRule type="cellIs" dxfId="1389" priority="12" stopIfTrue="1" operator="equal">
      <formula>"A déterminer"</formula>
    </cfRule>
  </conditionalFormatting>
  <conditionalFormatting sqref="G13:I14 G16:I19 I15">
    <cfRule type="cellIs" dxfId="1388" priority="2680" stopIfTrue="1" operator="equal">
      <formula>"A déterminer"</formula>
    </cfRule>
  </conditionalFormatting>
  <conditionalFormatting sqref="G13:I14 G16:I19">
    <cfRule type="cellIs" dxfId="1387" priority="2679" stopIfTrue="1" operator="equal">
      <formula>"cf. Liste des applications"</formula>
    </cfRule>
  </conditionalFormatting>
  <conditionalFormatting sqref="G49:J49">
    <cfRule type="cellIs" dxfId="1386" priority="558" stopIfTrue="1" operator="equal">
      <formula>"A déterminer"</formula>
    </cfRule>
  </conditionalFormatting>
  <conditionalFormatting sqref="G50:J50">
    <cfRule type="cellIs" dxfId="1385" priority="2130" stopIfTrue="1" operator="equal">
      <formula>"A déterminer"</formula>
    </cfRule>
  </conditionalFormatting>
  <conditionalFormatting sqref="G77:J77 D77:E78">
    <cfRule type="cellIs" dxfId="1384" priority="507" stopIfTrue="1" operator="equal">
      <formula>"cf. Liste des applications"</formula>
    </cfRule>
    <cfRule type="cellIs" dxfId="1383" priority="508" stopIfTrue="1" operator="equal">
      <formula>"A déterminer"</formula>
    </cfRule>
  </conditionalFormatting>
  <conditionalFormatting sqref="G78:J78">
    <cfRule type="cellIs" dxfId="1382" priority="1049" stopIfTrue="1" operator="equal">
      <formula>"cf. Liste des applications"</formula>
    </cfRule>
    <cfRule type="cellIs" dxfId="1381" priority="1050" stopIfTrue="1" operator="equal">
      <formula>"A déterminer"</formula>
    </cfRule>
  </conditionalFormatting>
  <conditionalFormatting sqref="G81:J81">
    <cfRule type="cellIs" dxfId="1380" priority="369" stopIfTrue="1" operator="equal">
      <formula>"cf. Liste des applications"</formula>
    </cfRule>
    <cfRule type="cellIs" dxfId="1379" priority="370" stopIfTrue="1" operator="equal">
      <formula>"A déterminer"</formula>
    </cfRule>
  </conditionalFormatting>
  <conditionalFormatting sqref="G87:J87">
    <cfRule type="cellIs" dxfId="1378" priority="1" stopIfTrue="1" operator="equal">
      <formula>"cf. Liste des applications"</formula>
    </cfRule>
  </conditionalFormatting>
  <conditionalFormatting sqref="H23">
    <cfRule type="cellIs" dxfId="1377" priority="2811" stopIfTrue="1" operator="equal">
      <formula>"cf. Liste des applications"</formula>
    </cfRule>
    <cfRule type="cellIs" dxfId="1376" priority="2812" stopIfTrue="1" operator="equal">
      <formula>"A déterminer"</formula>
    </cfRule>
    <cfRule type="cellIs" dxfId="1375" priority="2813" stopIfTrue="1" operator="equal">
      <formula>"cf. Liste des applications"</formula>
    </cfRule>
    <cfRule type="cellIs" dxfId="1374" priority="2814" stopIfTrue="1" operator="equal">
      <formula>"A déterminer"</formula>
    </cfRule>
  </conditionalFormatting>
  <conditionalFormatting sqref="H25">
    <cfRule type="cellIs" dxfId="1373" priority="939" stopIfTrue="1" operator="equal">
      <formula>"cf. Liste des applications"</formula>
    </cfRule>
    <cfRule type="cellIs" dxfId="1372" priority="940" stopIfTrue="1" operator="equal">
      <formula>"A déterminer"</formula>
    </cfRule>
    <cfRule type="cellIs" dxfId="1371" priority="2657" stopIfTrue="1" operator="equal">
      <formula>"cf. Liste des applications"</formula>
    </cfRule>
    <cfRule type="cellIs" dxfId="1370" priority="2658" stopIfTrue="1" operator="equal">
      <formula>"A déterminer"</formula>
    </cfRule>
  </conditionalFormatting>
  <conditionalFormatting sqref="H29">
    <cfRule type="cellIs" dxfId="1369" priority="2703" stopIfTrue="1" operator="equal">
      <formula>"A déterminer"</formula>
    </cfRule>
    <cfRule type="cellIs" dxfId="1368" priority="2704" stopIfTrue="1" operator="equal">
      <formula>"cf. Liste des applications"</formula>
    </cfRule>
  </conditionalFormatting>
  <conditionalFormatting sqref="H49:H50">
    <cfRule type="cellIs" dxfId="1367" priority="2127" stopIfTrue="1" operator="equal">
      <formula>"A déterminer"</formula>
    </cfRule>
  </conditionalFormatting>
  <conditionalFormatting sqref="H54">
    <cfRule type="cellIs" dxfId="1366" priority="1676" stopIfTrue="1" operator="equal">
      <formula>"cf. Liste des applications"</formula>
    </cfRule>
    <cfRule type="cellIs" dxfId="1365" priority="1677" stopIfTrue="1" operator="equal">
      <formula>"A déterminer"</formula>
    </cfRule>
    <cfRule type="cellIs" dxfId="1364" priority="1678" stopIfTrue="1" operator="equal">
      <formula>"cf. Liste des applications"</formula>
    </cfRule>
    <cfRule type="cellIs" dxfId="1363" priority="1679" stopIfTrue="1" operator="equal">
      <formula>"A déterminer"</formula>
    </cfRule>
    <cfRule type="cellIs" dxfId="1362" priority="1680" stopIfTrue="1" operator="equal">
      <formula>"cf. Liste des applications"</formula>
    </cfRule>
    <cfRule type="cellIs" dxfId="1361" priority="1681" stopIfTrue="1" operator="equal">
      <formula>"A déterminer"</formula>
    </cfRule>
    <cfRule type="cellIs" dxfId="1360" priority="1682" stopIfTrue="1" operator="equal">
      <formula>"cf. Liste des applications"</formula>
    </cfRule>
    <cfRule type="cellIs" dxfId="1359" priority="1683" stopIfTrue="1" operator="equal">
      <formula>"A déterminer"</formula>
    </cfRule>
  </conditionalFormatting>
  <conditionalFormatting sqref="H58">
    <cfRule type="cellIs" dxfId="1358" priority="673" stopIfTrue="1" operator="equal">
      <formula>"cf. Liste des applications"</formula>
    </cfRule>
    <cfRule type="cellIs" dxfId="1357" priority="674" stopIfTrue="1" operator="equal">
      <formula>"A déterminer"</formula>
    </cfRule>
    <cfRule type="cellIs" dxfId="1356" priority="675" stopIfTrue="1" operator="equal">
      <formula>"cf. Liste des applications"</formula>
    </cfRule>
    <cfRule type="cellIs" dxfId="1355" priority="676" stopIfTrue="1" operator="equal">
      <formula>"A déterminer"</formula>
    </cfRule>
  </conditionalFormatting>
  <conditionalFormatting sqref="H60">
    <cfRule type="cellIs" dxfId="1354" priority="274" stopIfTrue="1" operator="equal">
      <formula>"cf. Liste des applications"</formula>
    </cfRule>
    <cfRule type="cellIs" dxfId="1353" priority="275" stopIfTrue="1" operator="equal">
      <formula>"A déterminer"</formula>
    </cfRule>
    <cfRule type="cellIs" dxfId="1352" priority="276" stopIfTrue="1" operator="equal">
      <formula>"cf. Liste des applications"</formula>
    </cfRule>
    <cfRule type="cellIs" dxfId="1351" priority="277" stopIfTrue="1" operator="equal">
      <formula>"A déterminer"</formula>
    </cfRule>
  </conditionalFormatting>
  <conditionalFormatting sqref="H64">
    <cfRule type="cellIs" dxfId="1350" priority="660" stopIfTrue="1" operator="equal">
      <formula>"cf. Liste des applications"</formula>
    </cfRule>
    <cfRule type="cellIs" dxfId="1349" priority="661" stopIfTrue="1" operator="equal">
      <formula>"A déterminer"</formula>
    </cfRule>
    <cfRule type="cellIs" dxfId="1348" priority="662" stopIfTrue="1" operator="equal">
      <formula>"cf. Liste des applications"</formula>
    </cfRule>
    <cfRule type="cellIs" dxfId="1347" priority="663" stopIfTrue="1" operator="equal">
      <formula>"A déterminer"</formula>
    </cfRule>
    <cfRule type="cellIs" dxfId="1346" priority="664" stopIfTrue="1" operator="equal">
      <formula>"cf. Liste des applications"</formula>
    </cfRule>
    <cfRule type="cellIs" dxfId="1345" priority="666" stopIfTrue="1" operator="equal">
      <formula>"A déterminer"</formula>
    </cfRule>
    <cfRule type="cellIs" dxfId="1344" priority="667" stopIfTrue="1" operator="equal">
      <formula>"cf. Liste des applications"</formula>
    </cfRule>
    <cfRule type="cellIs" dxfId="1343" priority="668" stopIfTrue="1" operator="equal">
      <formula>"A déterminer"</formula>
    </cfRule>
    <cfRule type="cellIs" dxfId="1342" priority="669" stopIfTrue="1" operator="equal">
      <formula>"cf. Liste des applications"</formula>
    </cfRule>
    <cfRule type="cellIs" dxfId="1341" priority="670" stopIfTrue="1" operator="equal">
      <formula>"A déterminer"</formula>
    </cfRule>
  </conditionalFormatting>
  <conditionalFormatting sqref="H49:J49">
    <cfRule type="cellIs" dxfId="1340" priority="557" stopIfTrue="1" operator="equal">
      <formula>"cf. Liste des applications"</formula>
    </cfRule>
  </conditionalFormatting>
  <conditionalFormatting sqref="H50:J50">
    <cfRule type="cellIs" dxfId="1339" priority="2128" stopIfTrue="1" operator="equal">
      <formula>"cf. Liste des applications"</formula>
    </cfRule>
  </conditionalFormatting>
  <conditionalFormatting sqref="H55:J55">
    <cfRule type="cellIs" dxfId="1338" priority="1620" stopIfTrue="1" operator="equal">
      <formula>"cf. Liste des applications"</formula>
    </cfRule>
    <cfRule type="cellIs" dxfId="1337" priority="1621" stopIfTrue="1" operator="equal">
      <formula>"A déterminer"</formula>
    </cfRule>
  </conditionalFormatting>
  <conditionalFormatting sqref="H61:J61">
    <cfRule type="cellIs" dxfId="1336" priority="1503" stopIfTrue="1" operator="equal">
      <formula>"cf. Liste des applications"</formula>
    </cfRule>
    <cfRule type="cellIs" dxfId="1335" priority="1504" stopIfTrue="1" operator="equal">
      <formula>"A déterminer"</formula>
    </cfRule>
    <cfRule type="cellIs" dxfId="1334" priority="1513" stopIfTrue="1" operator="equal">
      <formula>"cf. Liste des applications"</formula>
    </cfRule>
    <cfRule type="cellIs" dxfId="1333" priority="1514" stopIfTrue="1" operator="equal">
      <formula>"A déterminer"</formula>
    </cfRule>
  </conditionalFormatting>
  <conditionalFormatting sqref="I13:I19">
    <cfRule type="cellIs" dxfId="1332" priority="3198" stopIfTrue="1" operator="equal">
      <formula>"A déterminer"</formula>
    </cfRule>
  </conditionalFormatting>
  <conditionalFormatting sqref="I15">
    <cfRule type="cellIs" dxfId="1331" priority="3197" stopIfTrue="1" operator="equal">
      <formula>"cf. Liste des applications"</formula>
    </cfRule>
  </conditionalFormatting>
  <conditionalFormatting sqref="I22:I25">
    <cfRule type="cellIs" dxfId="1330" priority="3201" stopIfTrue="1" operator="equal">
      <formula>"cf. Liste des applications"</formula>
    </cfRule>
    <cfRule type="cellIs" dxfId="1329" priority="3202" stopIfTrue="1" operator="equal">
      <formula>"A déterminer"</formula>
    </cfRule>
  </conditionalFormatting>
  <conditionalFormatting sqref="I81">
    <cfRule type="cellIs" dxfId="1328" priority="365" stopIfTrue="1" operator="equal">
      <formula>"cf. Liste des applications"</formula>
    </cfRule>
    <cfRule type="cellIs" dxfId="1327" priority="366" stopIfTrue="1" operator="equal">
      <formula>"A déterminer"</formula>
    </cfRule>
    <cfRule type="cellIs" dxfId="1326" priority="367" stopIfTrue="1" operator="equal">
      <formula>"cf. Liste des applications"</formula>
    </cfRule>
    <cfRule type="cellIs" dxfId="1325" priority="368" stopIfTrue="1" operator="equal">
      <formula>"A déterminer"</formula>
    </cfRule>
  </conditionalFormatting>
  <conditionalFormatting sqref="I83:I85">
    <cfRule type="cellIs" dxfId="1324" priority="303" stopIfTrue="1" operator="equal">
      <formula>"cf. Liste des applications"</formula>
    </cfRule>
    <cfRule type="cellIs" dxfId="1323" priority="304" stopIfTrue="1" operator="equal">
      <formula>"A déterminer"</formula>
    </cfRule>
  </conditionalFormatting>
  <conditionalFormatting sqref="I21:J25">
    <cfRule type="cellIs" dxfId="1322" priority="3205" stopIfTrue="1" operator="equal">
      <formula>"cf. Liste des applications"</formula>
    </cfRule>
    <cfRule type="cellIs" dxfId="1321" priority="3206" stopIfTrue="1" operator="equal">
      <formula>"A déterminer"</formula>
    </cfRule>
  </conditionalFormatting>
  <conditionalFormatting sqref="I26:J28">
    <cfRule type="cellIs" dxfId="1320" priority="2586" stopIfTrue="1" operator="equal">
      <formula>"cf. Liste des applications"</formula>
    </cfRule>
  </conditionalFormatting>
  <conditionalFormatting sqref="I46:J46 C49:C50">
    <cfRule type="cellIs" dxfId="1319" priority="3644" stopIfTrue="1" operator="equal">
      <formula>"cf. Liste des applications"</formula>
    </cfRule>
  </conditionalFormatting>
  <conditionalFormatting sqref="I46:J46 C49:C56">
    <cfRule type="cellIs" dxfId="1318" priority="3645" stopIfTrue="1" operator="equal">
      <formula>"A déterminer"</formula>
    </cfRule>
  </conditionalFormatting>
  <conditionalFormatting sqref="I46:J46">
    <cfRule type="cellIs" dxfId="1317" priority="1782" stopIfTrue="1" operator="equal">
      <formula>"cf. Liste des applications"</formula>
    </cfRule>
    <cfRule type="cellIs" dxfId="1316" priority="1783" stopIfTrue="1" operator="equal">
      <formula>"A déterminer"</formula>
    </cfRule>
    <cfRule type="cellIs" dxfId="1315" priority="1806" stopIfTrue="1" operator="equal">
      <formula>"cf. Liste des applications"</formula>
    </cfRule>
  </conditionalFormatting>
  <conditionalFormatting sqref="I49:J49 D49:F49">
    <cfRule type="cellIs" dxfId="1314" priority="590" stopIfTrue="1" operator="equal">
      <formula>"cf. Liste des applications"</formula>
    </cfRule>
  </conditionalFormatting>
  <conditionalFormatting sqref="I49:J49">
    <cfRule type="cellIs" dxfId="1313" priority="585" stopIfTrue="1" operator="equal">
      <formula>"cf. Liste des applications"</formula>
    </cfRule>
    <cfRule type="cellIs" dxfId="1312" priority="586" stopIfTrue="1" operator="equal">
      <formula>"A déterminer"</formula>
    </cfRule>
  </conditionalFormatting>
  <conditionalFormatting sqref="I50:J50">
    <cfRule type="cellIs" dxfId="1311" priority="2573" stopIfTrue="1" operator="equal">
      <formula>"cf. Liste des applications"</formula>
    </cfRule>
    <cfRule type="cellIs" dxfId="1310" priority="2574" stopIfTrue="1" operator="equal">
      <formula>"A déterminer"</formula>
    </cfRule>
  </conditionalFormatting>
  <conditionalFormatting sqref="I50:J51 I54:J55 D50:F51 D54:F55 D56:J56 D58:J58 D60:J60">
    <cfRule type="cellIs" dxfId="1309" priority="3652" stopIfTrue="1" operator="equal">
      <formula>"cf. Liste des applications"</formula>
    </cfRule>
  </conditionalFormatting>
  <conditionalFormatting sqref="I55:J55">
    <cfRule type="cellIs" dxfId="1308" priority="1648" stopIfTrue="1" operator="equal">
      <formula>"cf. Liste des applications"</formula>
    </cfRule>
    <cfRule type="cellIs" dxfId="1307" priority="1649" stopIfTrue="1" operator="equal">
      <formula>"A déterminer"</formula>
    </cfRule>
  </conditionalFormatting>
  <conditionalFormatting sqref="I83:J83">
    <cfRule type="cellIs" dxfId="1306" priority="166" stopIfTrue="1" operator="equal">
      <formula>"cf. Liste des applications"</formula>
    </cfRule>
    <cfRule type="cellIs" dxfId="1305" priority="200" stopIfTrue="1" operator="equal">
      <formula>"A déterminer"</formula>
    </cfRule>
  </conditionalFormatting>
  <conditionalFormatting sqref="I83:J84">
    <cfRule type="cellIs" dxfId="1304" priority="199" stopIfTrue="1" operator="equal">
      <formula>"cf. Liste des applications"</formula>
    </cfRule>
  </conditionalFormatting>
  <conditionalFormatting sqref="I83:J85 I87:J87">
    <cfRule type="cellIs" dxfId="1303" priority="306" stopIfTrue="1" operator="equal">
      <formula>"A déterminer"</formula>
    </cfRule>
    <cfRule type="cellIs" dxfId="1302" priority="311" stopIfTrue="1" operator="equal">
      <formula>"cf. Liste des applications"</formula>
    </cfRule>
  </conditionalFormatting>
  <conditionalFormatting sqref="I83:J85">
    <cfRule type="cellIs" dxfId="1301" priority="305" stopIfTrue="1" operator="equal">
      <formula>"cf. Liste des applications"</formula>
    </cfRule>
  </conditionalFormatting>
  <conditionalFormatting sqref="I84:J84">
    <cfRule type="cellIs" dxfId="1300" priority="235" stopIfTrue="1" operator="equal">
      <formula>"cf. Liste des applications"</formula>
    </cfRule>
    <cfRule type="cellIs" dxfId="1299" priority="236" stopIfTrue="1" operator="equal">
      <formula>"A déterminer"</formula>
    </cfRule>
  </conditionalFormatting>
  <conditionalFormatting sqref="I85:J85">
    <cfRule type="cellIs" dxfId="1298" priority="139" stopIfTrue="1" operator="equal">
      <formula>"cf. Liste des applications"</formula>
    </cfRule>
    <cfRule type="cellIs" dxfId="1297" priority="140" stopIfTrue="1" operator="equal">
      <formula>"A déterminer"</formula>
    </cfRule>
  </conditionalFormatting>
  <conditionalFormatting sqref="I85:J87 AP83:AP87 AR83:AR87 AT83:AT87 AV83:AV87 AX83:AX87 AZ83:AZ87 BB83:BB87 BD83:BD87 BF83:BF87 BK83:BK87">
    <cfRule type="cellIs" dxfId="1296" priority="77" stopIfTrue="1" operator="equal">
      <formula>"cf. Liste des applications"</formula>
    </cfRule>
  </conditionalFormatting>
  <conditionalFormatting sqref="I86:J86">
    <cfRule type="cellIs" dxfId="1295" priority="75" stopIfTrue="1" operator="equal">
      <formula>"cf. Liste des applications"</formula>
    </cfRule>
    <cfRule type="cellIs" dxfId="1294" priority="76" stopIfTrue="1" operator="equal">
      <formula>"A déterminer"</formula>
    </cfRule>
  </conditionalFormatting>
  <conditionalFormatting sqref="I87:J87">
    <cfRule type="cellIs" dxfId="1293" priority="29" stopIfTrue="1" operator="equal">
      <formula>"cf. Liste des applications"</formula>
    </cfRule>
    <cfRule type="cellIs" dxfId="1292" priority="30" stopIfTrue="1" operator="equal">
      <formula>"A déterminer"</formula>
    </cfRule>
  </conditionalFormatting>
  <conditionalFormatting sqref="J22:J25">
    <cfRule type="cellIs" dxfId="1291" priority="3253" stopIfTrue="1" operator="equal">
      <formula>"cf. Liste des applications"</formula>
    </cfRule>
    <cfRule type="cellIs" dxfId="1290" priority="3254" stopIfTrue="1" operator="equal">
      <formula>"A déterminer"</formula>
    </cfRule>
  </conditionalFormatting>
  <conditionalFormatting sqref="J81">
    <cfRule type="cellIs" dxfId="1289" priority="373" stopIfTrue="1" operator="equal">
      <formula>"cf. Liste des applications"</formula>
    </cfRule>
    <cfRule type="cellIs" dxfId="1288" priority="374" stopIfTrue="1" operator="equal">
      <formula>"A déterminer"</formula>
    </cfRule>
    <cfRule type="cellIs" dxfId="1287" priority="375" stopIfTrue="1" operator="equal">
      <formula>"cf. Liste des applications"</formula>
    </cfRule>
    <cfRule type="cellIs" dxfId="1286" priority="376" stopIfTrue="1" operator="equal">
      <formula>"A déterminer"</formula>
    </cfRule>
  </conditionalFormatting>
  <conditionalFormatting sqref="N8:N26 AP8:AP48 AR8:AR48 AT8:AT48 AV8:AV48 AX8:AX48 AZ8:AZ48 BB8:BB48 BD8:BD48 BF8:BF48 BK8:BK48 BH8:BI87 N11:AB14 AC13:AD16 AC14:AH16 N16:AB17 N18:AM18 N19:AE19 N20:AD24 AC21:AH25 P24:AB25 N25:AB25 AF25:AH26 N26:AD28 AF27:AM27 AF28:AH28 P28:W38 N29:AB29 N29:N38 N33:AL33 N35:AB35 N37:AM37 N39:AM39 N39:AB74 AC40:AH42 N42:AM42 N44:AM44 N48:AM48 AP50:AP54 AR50:AR54 AT50:AT54 AV50:AV54 AX50:AX54 AZ50:AZ54 BB50:BB54 BD50:BD54 BF50:BF54 BK50:BK54 N51:AM52 N53:AH53 N54:AM54 N62:AM62 N71:O76 N72:AM72 N74:AM74 N75:AH75 N75:N78 N76:AM77 N78:AH80 N78:O82 N81:AM81 N82:AH82 N83:AM87 AF19:AH21 N31:AB31 N32:AM32 AE17:AH17 P8:W9">
    <cfRule type="cellIs" dxfId="1285" priority="3736" stopIfTrue="1" operator="equal">
      <formula>"cf. Liste des applications"</formula>
    </cfRule>
  </conditionalFormatting>
  <conditionalFormatting sqref="N9:N87 N7">
    <cfRule type="cellIs" dxfId="1284" priority="294" stopIfTrue="1" operator="equal">
      <formula>"cf. Liste des applications"</formula>
    </cfRule>
  </conditionalFormatting>
  <conditionalFormatting sqref="N11 N13 N17 N19:N30 N32:N34 N36 N37:AD37 N38:N40 N42 N44:AD44 N46 N48 N54:AM54 N15">
    <cfRule type="cellIs" dxfId="1283" priority="2668" stopIfTrue="1" operator="equal">
      <formula>"A déterminer"</formula>
    </cfRule>
  </conditionalFormatting>
  <conditionalFormatting sqref="N15 N13:AH14 W15:AH15">
    <cfRule type="cellIs" dxfId="1282" priority="2677" stopIfTrue="1" operator="equal">
      <formula>"cf. Liste des applications"</formula>
    </cfRule>
  </conditionalFormatting>
  <conditionalFormatting sqref="N15">
    <cfRule type="cellIs" dxfId="1281" priority="2675" stopIfTrue="1" operator="equal">
      <formula>"cf. Liste des applications"</formula>
    </cfRule>
    <cfRule type="cellIs" dxfId="1280" priority="2676" stopIfTrue="1" operator="equal">
      <formula>"A déterminer"</formula>
    </cfRule>
  </conditionalFormatting>
  <conditionalFormatting sqref="N17">
    <cfRule type="cellIs" dxfId="1279" priority="2612" stopIfTrue="1" operator="equal">
      <formula>"cf. Liste des applications"</formula>
    </cfRule>
    <cfRule type="cellIs" dxfId="1278" priority="2613" stopIfTrue="1" operator="equal">
      <formula>"A déterminer"</formula>
    </cfRule>
  </conditionalFormatting>
  <conditionalFormatting sqref="N19:N25 N17 N32:N34 N36:N38 N40 N42 N44 N46 N48 N56 N58 N60 N64 N50:N52 N54 N62 N11 N13">
    <cfRule type="cellIs" dxfId="1277" priority="2667" stopIfTrue="1" operator="equal">
      <formula>"cf. Liste des applications"</formula>
    </cfRule>
  </conditionalFormatting>
  <conditionalFormatting sqref="N24">
    <cfRule type="cellIs" dxfId="1276" priority="2652" stopIfTrue="1" operator="equal">
      <formula>"A déterminer"</formula>
    </cfRule>
  </conditionalFormatting>
  <conditionalFormatting sqref="N24:N30">
    <cfRule type="cellIs" dxfId="1275" priority="2650" stopIfTrue="1" operator="equal">
      <formula>"cf. Liste des applications"</formula>
    </cfRule>
  </conditionalFormatting>
  <conditionalFormatting sqref="N26:N28">
    <cfRule type="cellIs" dxfId="1274" priority="2592" stopIfTrue="1" operator="equal">
      <formula>"A déterminer"</formula>
    </cfRule>
  </conditionalFormatting>
  <conditionalFormatting sqref="N44">
    <cfRule type="cellIs" dxfId="1273" priority="1831" stopIfTrue="1" operator="equal">
      <formula>"cf. Liste des applications"</formula>
    </cfRule>
    <cfRule type="cellIs" dxfId="1272" priority="1832" stopIfTrue="1" operator="equal">
      <formula>"A déterminer"</formula>
    </cfRule>
  </conditionalFormatting>
  <conditionalFormatting sqref="N48">
    <cfRule type="cellIs" dxfId="1271" priority="1735" stopIfTrue="1" operator="equal">
      <formula>"cf. Liste des applications"</formula>
    </cfRule>
    <cfRule type="cellIs" dxfId="1270" priority="1736" stopIfTrue="1" operator="equal">
      <formula>"A déterminer"</formula>
    </cfRule>
  </conditionalFormatting>
  <conditionalFormatting sqref="N66">
    <cfRule type="cellIs" dxfId="1269" priority="860" stopIfTrue="1" operator="equal">
      <formula>"cf. Liste des applications"</formula>
    </cfRule>
    <cfRule type="cellIs" dxfId="1268" priority="861" stopIfTrue="1" operator="equal">
      <formula>"A déterminer"</formula>
    </cfRule>
  </conditionalFormatting>
  <conditionalFormatting sqref="N10:O10 O12:W12 O14:W14 O16:W16 O18:W18 O20:W26 O28:W28 O30:W80 N72:AM72 N74:AM74 N76:AM76 N81:AM81 N82:AD82 N84:W84">
    <cfRule type="cellIs" dxfId="1267" priority="2959" stopIfTrue="1" operator="equal">
      <formula>"A déterminer"</formula>
    </cfRule>
  </conditionalFormatting>
  <conditionalFormatting sqref="N12:O12">
    <cfRule type="cellIs" dxfId="1266" priority="2670" stopIfTrue="1" operator="equal">
      <formula>"A déterminer"</formula>
    </cfRule>
  </conditionalFormatting>
  <conditionalFormatting sqref="N25:O25">
    <cfRule type="cellIs" dxfId="1265" priority="2647" stopIfTrue="1" operator="equal">
      <formula>"cf. Liste des applications"</formula>
    </cfRule>
    <cfRule type="cellIs" dxfId="1264" priority="2648" stopIfTrue="1" operator="equal">
      <formula>"A déterminer"</formula>
    </cfRule>
  </conditionalFormatting>
  <conditionalFormatting sqref="N46:O46">
    <cfRule type="cellIs" dxfId="1263" priority="1778" stopIfTrue="1" operator="equal">
      <formula>"A déterminer"</formula>
    </cfRule>
  </conditionalFormatting>
  <conditionalFormatting sqref="N49:O50">
    <cfRule type="cellIs" dxfId="1262" priority="561" stopIfTrue="1" operator="equal">
      <formula>"cf. Liste des applications"</formula>
    </cfRule>
    <cfRule type="cellIs" dxfId="1261" priority="562" stopIfTrue="1" operator="equal">
      <formula>"A déterminer"</formula>
    </cfRule>
  </conditionalFormatting>
  <conditionalFormatting sqref="N55:O56 N58:O58">
    <cfRule type="cellIs" dxfId="1260" priority="1588" stopIfTrue="1" operator="equal">
      <formula>"cf. Liste des applications"</formula>
    </cfRule>
    <cfRule type="cellIs" dxfId="1259" priority="1589" stopIfTrue="1" operator="equal">
      <formula>"A déterminer"</formula>
    </cfRule>
  </conditionalFormatting>
  <conditionalFormatting sqref="N60:O60">
    <cfRule type="cellIs" dxfId="1258" priority="1518" stopIfTrue="1" operator="equal">
      <formula>"cf. Liste des applications"</formula>
    </cfRule>
    <cfRule type="cellIs" dxfId="1257" priority="1519" stopIfTrue="1" operator="equal">
      <formula>"A déterminer"</formula>
    </cfRule>
  </conditionalFormatting>
  <conditionalFormatting sqref="N64:O64 N67:O67">
    <cfRule type="cellIs" dxfId="1256" priority="1389" stopIfTrue="1" operator="equal">
      <formula>"A déterminer"</formula>
    </cfRule>
  </conditionalFormatting>
  <conditionalFormatting sqref="N64:O64">
    <cfRule type="cellIs" dxfId="1255" priority="1388" stopIfTrue="1" operator="equal">
      <formula>"cf. Liste des applications"</formula>
    </cfRule>
  </conditionalFormatting>
  <conditionalFormatting sqref="N66:O66">
    <cfRule type="cellIs" dxfId="1254" priority="831" stopIfTrue="1" operator="equal">
      <formula>"A déterminer"</formula>
    </cfRule>
  </conditionalFormatting>
  <conditionalFormatting sqref="N66:O67">
    <cfRule type="cellIs" dxfId="1253" priority="862" stopIfTrue="1" operator="equal">
      <formula>"cf. Liste des applications"</formula>
    </cfRule>
  </conditionalFormatting>
  <conditionalFormatting sqref="N69:O69">
    <cfRule type="cellIs" dxfId="1252" priority="1288" stopIfTrue="1" operator="equal">
      <formula>"cf. Liste des applications"</formula>
    </cfRule>
    <cfRule type="cellIs" dxfId="1251" priority="1289" stopIfTrue="1" operator="equal">
      <formula>"A déterminer"</formula>
    </cfRule>
  </conditionalFormatting>
  <conditionalFormatting sqref="N79:O79">
    <cfRule type="cellIs" dxfId="1250" priority="1062" stopIfTrue="1" operator="equal">
      <formula>"cf. Liste des applications"</formula>
    </cfRule>
    <cfRule type="cellIs" dxfId="1249" priority="1063" stopIfTrue="1" operator="equal">
      <formula>"A déterminer"</formula>
    </cfRule>
  </conditionalFormatting>
  <conditionalFormatting sqref="N24:U25">
    <cfRule type="cellIs" dxfId="1248" priority="2654" stopIfTrue="1" operator="equal">
      <formula>"cf. Liste des applications"</formula>
    </cfRule>
  </conditionalFormatting>
  <conditionalFormatting sqref="N8:AB9">
    <cfRule type="cellIs" dxfId="1247" priority="103" stopIfTrue="1" operator="equal">
      <formula>"A déterminer"</formula>
    </cfRule>
  </conditionalFormatting>
  <conditionalFormatting sqref="N10:AB14">
    <cfRule type="cellIs" dxfId="1246" priority="95" stopIfTrue="1" operator="equal">
      <formula>"A déterminer"</formula>
    </cfRule>
  </conditionalFormatting>
  <conditionalFormatting sqref="N11:AB14 N16:AB17 N20:AD24 N25:AB27 N28 BH67:BI69 BH71:BI76 BH78:BI82 AC14:AH16 N18:AE19 AC22:AH25 N38:AD41 N42:AH42 N46:AH46 N51:AM51 N58:AH58 N60:AH60 N62:AM62 P24:AB25 AF25:AH26 N47:AB57 N29:AB29 N33:O38 N35:AB35 N37:AB37 N40:O48 N43:AB43 N45:AB45 O53:O65 N59:AB59 N61:AB73 N71:O76 N75:AB81 N78:O82 N83:AB83 N85:AB86 AP19:AP28 AR19:AR28 AT19:AT28 AV19:AV28 AX19:AX28 AZ19:AZ28 BB19:BB28 BD19:BD28 BF19:BF28 BH19:BI28 BK19:BK28 AF27:AM27 AF28:AH28 AP30:AP48 AR30:AR48 AT30:AT48 AV30:AV48 AX30:AX48 AZ30:AZ48 BB30:BB48 BD30:BD48 BF30:BF48 BK30:BK48 AP14:AP17 AR14:AR17 AT14:AT17 AV14:AV17 AX14:AX17 AZ14:AZ17 BB14:BB17 BD14:BD17 BF14:BF17 BH14:BI17 BK14:BK17 AP50:AP51 AR50:AR51 AT50:AT51 AV50:AV51 AX50:AX51 AZ50:AZ51 BB50:BB51 BD50:BD51 BF50:BF51 BK50:BK51 BH86:BI86">
    <cfRule type="cellIs" dxfId="1245" priority="3703" stopIfTrue="1" operator="equal">
      <formula>"A déterminer"</formula>
    </cfRule>
  </conditionalFormatting>
  <conditionalFormatting sqref="N15:AB48">
    <cfRule type="cellIs" dxfId="1244" priority="84" stopIfTrue="1" operator="equal">
      <formula>"A déterminer"</formula>
    </cfRule>
  </conditionalFormatting>
  <conditionalFormatting sqref="N31:AB31 AD31:AH31 AJ31:AM31">
    <cfRule type="cellIs" dxfId="1243" priority="3435" stopIfTrue="1" operator="equal">
      <formula>"A déterminer"</formula>
    </cfRule>
  </conditionalFormatting>
  <conditionalFormatting sqref="N34:AB34 AD34:AH34 AJ34:AM34">
    <cfRule type="cellIs" dxfId="1242" priority="2036" stopIfTrue="1" operator="equal">
      <formula>"A déterminer"</formula>
    </cfRule>
  </conditionalFormatting>
  <conditionalFormatting sqref="N36:AB36 AD36:AH36 AJ36:AM37">
    <cfRule type="cellIs" dxfId="1241" priority="2004" stopIfTrue="1" operator="equal">
      <formula>"A déterminer"</formula>
    </cfRule>
  </conditionalFormatting>
  <conditionalFormatting sqref="N38:AB38 AD38:AH38 AJ38:AM38">
    <cfRule type="cellIs" dxfId="1240" priority="1934" stopIfTrue="1" operator="equal">
      <formula>"A déterminer"</formula>
    </cfRule>
  </conditionalFormatting>
  <conditionalFormatting sqref="N43:AB43 AD43:AH43 AJ43:AM44">
    <cfRule type="cellIs" dxfId="1239" priority="1861" stopIfTrue="1" operator="equal">
      <formula>"A déterminer"</formula>
    </cfRule>
  </conditionalFormatting>
  <conditionalFormatting sqref="N45:AB45 AD45:AH45 AJ45:AM45">
    <cfRule type="cellIs" dxfId="1238" priority="1809" stopIfTrue="1" operator="equal">
      <formula>"A déterminer"</formula>
    </cfRule>
  </conditionalFormatting>
  <conditionalFormatting sqref="N47:AB47 AD47:AH47 AJ47:AM47">
    <cfRule type="cellIs" dxfId="1237" priority="1765" stopIfTrue="1" operator="equal">
      <formula>"A déterminer"</formula>
    </cfRule>
  </conditionalFormatting>
  <conditionalFormatting sqref="N53:AB53 AD53:AH53 AJ53:AM53">
    <cfRule type="cellIs" dxfId="1236" priority="1713" stopIfTrue="1" operator="equal">
      <formula>"A déterminer"</formula>
    </cfRule>
  </conditionalFormatting>
  <conditionalFormatting sqref="N57:AB57 AD57:AH57 AJ57:AM57 N59:AB59 AD59:AH59 AJ59:AM60">
    <cfRule type="cellIs" dxfId="1235" priority="1576" stopIfTrue="1" operator="equal">
      <formula>"A déterminer"</formula>
    </cfRule>
  </conditionalFormatting>
  <conditionalFormatting sqref="N61:AB61 AD61:AH61 AJ61:AM61">
    <cfRule type="cellIs" dxfId="1234" priority="1506" stopIfTrue="1" operator="equal">
      <formula>"A déterminer"</formula>
    </cfRule>
  </conditionalFormatting>
  <conditionalFormatting sqref="N63:AB63 AD63:AH63 AJ63:AM64">
    <cfRule type="cellIs" dxfId="1233" priority="1446" stopIfTrue="1" operator="equal">
      <formula>"A déterminer"</formula>
    </cfRule>
  </conditionalFormatting>
  <conditionalFormatting sqref="N65:AB65 AD65:AH65 AJ65:AM65">
    <cfRule type="cellIs" dxfId="1232" priority="1376" stopIfTrue="1" operator="equal">
      <formula>"A déterminer"</formula>
    </cfRule>
  </conditionalFormatting>
  <conditionalFormatting sqref="N66:AB66">
    <cfRule type="cellIs" dxfId="1231" priority="863" stopIfTrue="1" operator="equal">
      <formula>"A déterminer"</formula>
    </cfRule>
  </conditionalFormatting>
  <conditionalFormatting sqref="N70:AB70">
    <cfRule type="cellIs" dxfId="1230" priority="524" stopIfTrue="1" operator="equal">
      <formula>"A déterminer"</formula>
    </cfRule>
  </conditionalFormatting>
  <conditionalFormatting sqref="N71:AB71 AD71:AH71 AJ71:AM71">
    <cfRule type="cellIs" dxfId="1229" priority="1276" stopIfTrue="1" operator="equal">
      <formula>"A déterminer"</formula>
    </cfRule>
  </conditionalFormatting>
  <conditionalFormatting sqref="N73:AB73 AD73:AH73 AJ73:AM73">
    <cfRule type="cellIs" dxfId="1228" priority="1212" stopIfTrue="1" operator="equal">
      <formula>"A déterminer"</formula>
    </cfRule>
  </conditionalFormatting>
  <conditionalFormatting sqref="N75:AB75 AD75:AH75 AJ75:AM75">
    <cfRule type="cellIs" dxfId="1227" priority="1120" stopIfTrue="1" operator="equal">
      <formula>"A déterminer"</formula>
    </cfRule>
  </conditionalFormatting>
  <conditionalFormatting sqref="N80:AB80 AD80:AH80 AJ80:AM80 N82:AB82 AD82:AH82 AJ82:AM82">
    <cfRule type="cellIs" dxfId="1226" priority="992" stopIfTrue="1" operator="equal">
      <formula>"A déterminer"</formula>
    </cfRule>
  </conditionalFormatting>
  <conditionalFormatting sqref="N86:AB87">
    <cfRule type="cellIs" dxfId="1225" priority="34" stopIfTrue="1" operator="equal">
      <formula>"A déterminer"</formula>
    </cfRule>
  </conditionalFormatting>
  <conditionalFormatting sqref="N7:AD7 N9:AD9 N10:O10 N11:AD14 N15 N16:AD87 W10:AB10 W15:AD15">
    <cfRule type="cellIs" dxfId="1224" priority="295" stopIfTrue="1" operator="equal">
      <formula>"A déterminer"</formula>
    </cfRule>
  </conditionalFormatting>
  <conditionalFormatting sqref="N9:AD9">
    <cfRule type="cellIs" dxfId="1223" priority="101" stopIfTrue="1" operator="equal">
      <formula>"A déterminer"</formula>
    </cfRule>
  </conditionalFormatting>
  <conditionalFormatting sqref="N49:AD49">
    <cfRule type="cellIs" dxfId="1222" priority="149" stopIfTrue="1" operator="equal">
      <formula>"A déterminer"</formula>
    </cfRule>
  </conditionalFormatting>
  <conditionalFormatting sqref="N9:AH9">
    <cfRule type="cellIs" dxfId="1221" priority="102" stopIfTrue="1" operator="equal">
      <formula>"cf. Liste des applications"</formula>
    </cfRule>
  </conditionalFormatting>
  <conditionalFormatting sqref="N11:AH14 N16:AH51 AB39:AM39 N53:AH87 N7:AH7 N9:AH9 N10:O10 W10:AB10 N15 W15:AH15 N52:AM52">
    <cfRule type="cellIs" dxfId="1220" priority="297" stopIfTrue="1" operator="equal">
      <formula>"cf. Liste des applications"</formula>
    </cfRule>
  </conditionalFormatting>
  <conditionalFormatting sqref="N13:AH14 N15 W15:AH15">
    <cfRule type="cellIs" dxfId="1219" priority="2678" stopIfTrue="1" operator="equal">
      <formula>"A déterminer"</formula>
    </cfRule>
  </conditionalFormatting>
  <conditionalFormatting sqref="N16:AH16">
    <cfRule type="cellIs" dxfId="1218" priority="3257" stopIfTrue="1" operator="equal">
      <formula>"cf. Liste des applications"</formula>
    </cfRule>
    <cfRule type="cellIs" dxfId="1217" priority="3258" stopIfTrue="1" operator="equal">
      <formula>"A déterminer"</formula>
    </cfRule>
  </conditionalFormatting>
  <conditionalFormatting sqref="N35:AH35">
    <cfRule type="cellIs" dxfId="1216" priority="2062" stopIfTrue="1" operator="equal">
      <formula>"A déterminer"</formula>
    </cfRule>
  </conditionalFormatting>
  <conditionalFormatting sqref="N68:AH68 AJ68:AM68">
    <cfRule type="cellIs" dxfId="1215" priority="1346" stopIfTrue="1" operator="equal">
      <formula>"A déterminer"</formula>
    </cfRule>
  </conditionalFormatting>
  <conditionalFormatting sqref="N78:AH78 AJ78:AM78">
    <cfRule type="cellIs" dxfId="1214" priority="1052" stopIfTrue="1" operator="equal">
      <formula>"A déterminer"</formula>
    </cfRule>
  </conditionalFormatting>
  <conditionalFormatting sqref="N32:AL32">
    <cfRule type="cellIs" dxfId="1213" priority="635" stopIfTrue="1" operator="equal">
      <formula>"A déterminer"</formula>
    </cfRule>
  </conditionalFormatting>
  <conditionalFormatting sqref="N33:AL33 AC21:AD21 AF20:AH21">
    <cfRule type="cellIs" dxfId="1212" priority="3565" stopIfTrue="1" operator="equal">
      <formula>"A déterminer"</formula>
    </cfRule>
  </conditionalFormatting>
  <conditionalFormatting sqref="N37:AL37">
    <cfRule type="cellIs" dxfId="1211" priority="1975" stopIfTrue="1" operator="equal">
      <formula>"A déterminer"</formula>
    </cfRule>
  </conditionalFormatting>
  <conditionalFormatting sqref="N40:AL40">
    <cfRule type="cellIs" dxfId="1210" priority="1954" stopIfTrue="1" operator="equal">
      <formula>"A déterminer"</formula>
    </cfRule>
  </conditionalFormatting>
  <conditionalFormatting sqref="N42:AL42">
    <cfRule type="cellIs" dxfId="1209" priority="1879" stopIfTrue="1" operator="equal">
      <formula>"A déterminer"</formula>
    </cfRule>
  </conditionalFormatting>
  <conditionalFormatting sqref="N44:AL44">
    <cfRule type="cellIs" dxfId="1208" priority="1827" stopIfTrue="1" operator="equal">
      <formula>"A déterminer"</formula>
    </cfRule>
  </conditionalFormatting>
  <conditionalFormatting sqref="N48:AL48">
    <cfRule type="cellIs" dxfId="1207" priority="1729" stopIfTrue="1" operator="equal">
      <formula>"A déterminer"</formula>
    </cfRule>
  </conditionalFormatting>
  <conditionalFormatting sqref="N35:AM35 AP35:AP38 AR35:AR38 AT35:AT38 AV35:AV38 AX35:AX38 AZ35:AZ38 BB35:BB38 BD35:BD38 BF35:BF38 BK35:BK38">
    <cfRule type="cellIs" dxfId="1206" priority="2061" stopIfTrue="1" operator="equal">
      <formula>"cf. Liste des applications"</formula>
    </cfRule>
  </conditionalFormatting>
  <conditionalFormatting sqref="N35:AM35">
    <cfRule type="cellIs" dxfId="1205" priority="2056" stopIfTrue="1" operator="equal">
      <formula>"A déterminer"</formula>
    </cfRule>
  </conditionalFormatting>
  <conditionalFormatting sqref="N39:AM39">
    <cfRule type="cellIs" dxfId="1204" priority="620" stopIfTrue="1" operator="equal">
      <formula>"A déterminer"</formula>
    </cfRule>
  </conditionalFormatting>
  <conditionalFormatting sqref="N39:AM40 C39:C40">
    <cfRule type="cellIs" dxfId="1203" priority="1959" stopIfTrue="1" operator="equal">
      <formula>"cf. Liste des applications"</formula>
    </cfRule>
  </conditionalFormatting>
  <conditionalFormatting sqref="N41:AM41">
    <cfRule type="cellIs" dxfId="1202" priority="878" stopIfTrue="1" operator="equal">
      <formula>"A déterminer"</formula>
    </cfRule>
  </conditionalFormatting>
  <conditionalFormatting sqref="N52:AM52">
    <cfRule type="cellIs" dxfId="1201" priority="595" stopIfTrue="1" operator="equal">
      <formula>"A déterminer"</formula>
    </cfRule>
  </conditionalFormatting>
  <conditionalFormatting sqref="N77:AM77">
    <cfRule type="cellIs" dxfId="1200" priority="506" stopIfTrue="1" operator="equal">
      <formula>"A déterminer"</formula>
    </cfRule>
  </conditionalFormatting>
  <conditionalFormatting sqref="N83:AM83">
    <cfRule type="cellIs" dxfId="1199" priority="197" stopIfTrue="1" operator="equal">
      <formula>"A déterminer"</formula>
    </cfRule>
  </conditionalFormatting>
  <conditionalFormatting sqref="N84:AM84">
    <cfRule type="cellIs" dxfId="1198" priority="233" stopIfTrue="1" operator="equal">
      <formula>"A déterminer"</formula>
    </cfRule>
  </conditionalFormatting>
  <conditionalFormatting sqref="N85:AM85">
    <cfRule type="cellIs" dxfId="1197" priority="138" stopIfTrue="1" operator="equal">
      <formula>"A déterminer"</formula>
    </cfRule>
  </conditionalFormatting>
  <conditionalFormatting sqref="N86:AM86">
    <cfRule type="cellIs" dxfId="1196" priority="73" stopIfTrue="1" operator="equal">
      <formula>"A déterminer"</formula>
    </cfRule>
  </conditionalFormatting>
  <conditionalFormatting sqref="N87:AM87">
    <cfRule type="cellIs" dxfId="1195" priority="28" stopIfTrue="1" operator="equal">
      <formula>"A déterminer"</formula>
    </cfRule>
  </conditionalFormatting>
  <conditionalFormatting sqref="O14 O16 O20:O25 N26:AD28 BI31 BI34 BI36 BI41 BI43 BI45 D47:J48 I49:J51 BI53 I54:J55 C54:C56 BI57 BI59 I62:J62 BI63 BI68 BI71 I72:J72 BI73 I74:J74 BI75 I76:J76 BI78 BI80 I81:J81 BI82 BI38 BI47 BI61 BI65">
    <cfRule type="cellIs" dxfId="1194" priority="3417" stopIfTrue="1" operator="equal">
      <formula>"A déterminer"</formula>
    </cfRule>
  </conditionalFormatting>
  <conditionalFormatting sqref="O16 O14 O20:O25 N26:O28 D47:J48 I49:J51 I54:J55 C54:C56 I62:J62 I72:J72 I74:J74 I76:J76 I81:J81 BI34 BI36 BI41 BI43 BI45 BI53 BI57 BI59 BI63 BI68 BI71 BI73 BI75 BI78 BI80 BI82 BI31">
    <cfRule type="cellIs" dxfId="1193" priority="3416" stopIfTrue="1" operator="equal">
      <formula>"cf. Liste des applications"</formula>
    </cfRule>
  </conditionalFormatting>
  <conditionalFormatting sqref="O16:O87 O8:O14">
    <cfRule type="cellIs" dxfId="1192" priority="2958" stopIfTrue="1" operator="equal">
      <formula>"cf. Liste des applications"</formula>
    </cfRule>
  </conditionalFormatting>
  <conditionalFormatting sqref="O83:O85 O87">
    <cfRule type="cellIs" dxfId="1191" priority="348" stopIfTrue="1" operator="equal">
      <formula>"cf. Liste des applications"</formula>
    </cfRule>
  </conditionalFormatting>
  <conditionalFormatting sqref="O15:V15">
    <cfRule type="cellIs" dxfId="1190" priority="82" stopIfTrue="1" operator="equal">
      <formula>"A déterminer"</formula>
    </cfRule>
    <cfRule type="cellIs" dxfId="1189" priority="83" stopIfTrue="1" operator="equal">
      <formula>"cf. Liste des applications"</formula>
    </cfRule>
    <cfRule type="cellIs" dxfId="1188" priority="85" stopIfTrue="1" operator="equal">
      <formula>"cf. Liste des applications"</formula>
    </cfRule>
  </conditionalFormatting>
  <conditionalFormatting sqref="O18:Z18">
    <cfRule type="cellIs" dxfId="1187" priority="651" stopIfTrue="1" operator="equal">
      <formula>"A déterminer"</formula>
    </cfRule>
  </conditionalFormatting>
  <conditionalFormatting sqref="O19:Z19">
    <cfRule type="cellIs" dxfId="1186" priority="813" stopIfTrue="1" operator="equal">
      <formula>"A déterminer"</formula>
    </cfRule>
  </conditionalFormatting>
  <conditionalFormatting sqref="O49:AI49">
    <cfRule type="cellIs" dxfId="1185" priority="582" stopIfTrue="1" operator="equal">
      <formula>"A déterminer"</formula>
    </cfRule>
  </conditionalFormatting>
  <conditionalFormatting sqref="P10">
    <cfRule type="cellIs" dxfId="1184" priority="94" stopIfTrue="1" operator="equal">
      <formula>"cf. Liste des applications"</formula>
    </cfRule>
  </conditionalFormatting>
  <conditionalFormatting sqref="Q10:V10">
    <cfRule type="cellIs" dxfId="1183" priority="96" stopIfTrue="1" operator="equal">
      <formula>"cf. Liste des applications"</formula>
    </cfRule>
  </conditionalFormatting>
  <conditionalFormatting sqref="R18:R19">
    <cfRule type="cellIs" dxfId="1182" priority="812" stopIfTrue="1" operator="equal">
      <formula>"cf. Liste des applications"</formula>
    </cfRule>
  </conditionalFormatting>
  <conditionalFormatting sqref="R21">
    <cfRule type="cellIs" dxfId="1181" priority="3387" stopIfTrue="1" operator="equal">
      <formula>"cf. Liste des applications"</formula>
    </cfRule>
    <cfRule type="cellIs" dxfId="1180" priority="3388" stopIfTrue="1" operator="equal">
      <formula>"A déterminer"</formula>
    </cfRule>
  </conditionalFormatting>
  <conditionalFormatting sqref="R18:S19">
    <cfRule type="cellIs" dxfId="1179" priority="650" stopIfTrue="1" operator="equal">
      <formula>"A déterminer"</formula>
    </cfRule>
  </conditionalFormatting>
  <conditionalFormatting sqref="S32:S33">
    <cfRule type="cellIs" dxfId="1178" priority="2946" stopIfTrue="1" operator="equal">
      <formula>"cf. Liste des applications"</formula>
    </cfRule>
    <cfRule type="cellIs" dxfId="1177" priority="2947" stopIfTrue="1" operator="equal">
      <formula>"A déterminer"</formula>
    </cfRule>
  </conditionalFormatting>
  <conditionalFormatting sqref="S35">
    <cfRule type="cellIs" dxfId="1176" priority="2047" stopIfTrue="1" operator="equal">
      <formula>"cf. Liste des applications"</formula>
    </cfRule>
    <cfRule type="cellIs" dxfId="1175" priority="2048" stopIfTrue="1" operator="equal">
      <formula>"A déterminer"</formula>
    </cfRule>
  </conditionalFormatting>
  <conditionalFormatting sqref="S37">
    <cfRule type="cellIs" dxfId="1174" priority="1968" stopIfTrue="1" operator="equal">
      <formula>"cf. Liste des applications"</formula>
    </cfRule>
    <cfRule type="cellIs" dxfId="1173" priority="1969" stopIfTrue="1" operator="equal">
      <formula>"A déterminer"</formula>
    </cfRule>
  </conditionalFormatting>
  <conditionalFormatting sqref="S39:S40">
    <cfRule type="cellIs" dxfId="1172" priority="1945" stopIfTrue="1" operator="equal">
      <formula>"cf. Liste des applications"</formula>
    </cfRule>
    <cfRule type="cellIs" dxfId="1171" priority="1946" stopIfTrue="1" operator="equal">
      <formula>"A déterminer"</formula>
    </cfRule>
  </conditionalFormatting>
  <conditionalFormatting sqref="S42">
    <cfRule type="cellIs" dxfId="1170" priority="1873" stopIfTrue="1" operator="equal">
      <formula>"A déterminer"</formula>
    </cfRule>
  </conditionalFormatting>
  <conditionalFormatting sqref="S44">
    <cfRule type="cellIs" dxfId="1169" priority="1821" stopIfTrue="1" operator="equal">
      <formula>"A déterminer"</formula>
    </cfRule>
  </conditionalFormatting>
  <conditionalFormatting sqref="S48">
    <cfRule type="cellIs" dxfId="1168" priority="1723" stopIfTrue="1" operator="equal">
      <formula>"A déterminer"</formula>
    </cfRule>
  </conditionalFormatting>
  <conditionalFormatting sqref="T49:T50 T46:U46">
    <cfRule type="cellIs" dxfId="1167" priority="2920" stopIfTrue="1" operator="equal">
      <formula>"A déterminer"</formula>
    </cfRule>
  </conditionalFormatting>
  <conditionalFormatting sqref="T49:T50">
    <cfRule type="cellIs" dxfId="1166" priority="2919" stopIfTrue="1" operator="equal">
      <formula>"cf. Liste des applications"</formula>
    </cfRule>
  </conditionalFormatting>
  <conditionalFormatting sqref="T55:T56 T58">
    <cfRule type="cellIs" dxfId="1165" priority="1606" stopIfTrue="1" operator="equal">
      <formula>"A déterminer"</formula>
    </cfRule>
  </conditionalFormatting>
  <conditionalFormatting sqref="T55:T56">
    <cfRule type="cellIs" dxfId="1164" priority="1605" stopIfTrue="1" operator="equal">
      <formula>"cf. Liste des applications"</formula>
    </cfRule>
  </conditionalFormatting>
  <conditionalFormatting sqref="T60">
    <cfRule type="cellIs" dxfId="1163" priority="1536" stopIfTrue="1" operator="equal">
      <formula>"A déterminer"</formula>
    </cfRule>
  </conditionalFormatting>
  <conditionalFormatting sqref="T64">
    <cfRule type="cellIs" dxfId="1162" priority="1406" stopIfTrue="1" operator="equal">
      <formula>"A déterminer"</formula>
    </cfRule>
  </conditionalFormatting>
  <conditionalFormatting sqref="T66:T67">
    <cfRule type="cellIs" dxfId="1161" priority="843" stopIfTrue="1" operator="equal">
      <formula>"cf. Liste des applications"</formula>
    </cfRule>
    <cfRule type="cellIs" dxfId="1160" priority="844" stopIfTrue="1" operator="equal">
      <formula>"A déterminer"</formula>
    </cfRule>
  </conditionalFormatting>
  <conditionalFormatting sqref="T69">
    <cfRule type="cellIs" dxfId="1159" priority="1305" stopIfTrue="1" operator="equal">
      <formula>"cf. Liste des applications"</formula>
    </cfRule>
    <cfRule type="cellIs" dxfId="1158" priority="1306" stopIfTrue="1" operator="equal">
      <formula>"A déterminer"</formula>
    </cfRule>
  </conditionalFormatting>
  <conditionalFormatting sqref="T79">
    <cfRule type="cellIs" dxfId="1157" priority="1079" stopIfTrue="1" operator="equal">
      <formula>"cf. Liste des applications"</formula>
    </cfRule>
    <cfRule type="cellIs" dxfId="1156" priority="1080" stopIfTrue="1" operator="equal">
      <formula>"A déterminer"</formula>
    </cfRule>
  </conditionalFormatting>
  <conditionalFormatting sqref="U18:U19">
    <cfRule type="cellIs" dxfId="1155" priority="807" stopIfTrue="1" operator="equal">
      <formula>"A déterminer"</formula>
    </cfRule>
  </conditionalFormatting>
  <conditionalFormatting sqref="U21">
    <cfRule type="cellIs" dxfId="1154" priority="3385" stopIfTrue="1" operator="equal">
      <formula>"cf. Liste des applications"</formula>
    </cfRule>
    <cfRule type="cellIs" dxfId="1153" priority="3386" stopIfTrue="1" operator="equal">
      <formula>"A déterminer"</formula>
    </cfRule>
  </conditionalFormatting>
  <conditionalFormatting sqref="V22:V25">
    <cfRule type="cellIs" dxfId="1152" priority="2878" stopIfTrue="1" operator="equal">
      <formula>"A déterminer"</formula>
    </cfRule>
    <cfRule type="cellIs" dxfId="1151" priority="2879" stopIfTrue="1" operator="equal">
      <formula>"cf. Liste des applications"</formula>
    </cfRule>
  </conditionalFormatting>
  <conditionalFormatting sqref="V34:W34">
    <cfRule type="cellIs" dxfId="1150" priority="797" stopIfTrue="1" operator="equal">
      <formula>"A déterminer"</formula>
    </cfRule>
  </conditionalFormatting>
  <conditionalFormatting sqref="W10:AB10 X12:AH12 X14:AH14 X16:AH16 X18:AH18 X28:AH28 X30:AH82 X84:AH84">
    <cfRule type="cellIs" dxfId="1149" priority="2176" stopIfTrue="1" operator="equal">
      <formula>"cf. Liste des applications"</formula>
    </cfRule>
  </conditionalFormatting>
  <conditionalFormatting sqref="W22:AB23 N22:U23">
    <cfRule type="cellIs" dxfId="1148" priority="2821" stopIfTrue="1" operator="equal">
      <formula>"cf. Liste des applications"</formula>
    </cfRule>
  </conditionalFormatting>
  <conditionalFormatting sqref="W23:AB23">
    <cfRule type="cellIs" dxfId="1147" priority="2861" stopIfTrue="1" operator="equal">
      <formula>"A déterminer"</formula>
    </cfRule>
  </conditionalFormatting>
  <conditionalFormatting sqref="W24:AB24">
    <cfRule type="cellIs" dxfId="1146" priority="2665" stopIfTrue="1" operator="equal">
      <formula>"cf. Liste des applications"</formula>
    </cfRule>
  </conditionalFormatting>
  <conditionalFormatting sqref="W25:AB25">
    <cfRule type="cellIs" dxfId="1145" priority="3251" stopIfTrue="1" operator="equal">
      <formula>"cf. Liste des applications"</formula>
    </cfRule>
    <cfRule type="cellIs" dxfId="1144" priority="3252" stopIfTrue="1" operator="equal">
      <formula>"A déterminer"</formula>
    </cfRule>
  </conditionalFormatting>
  <conditionalFormatting sqref="W22:AD22 N22:U23">
    <cfRule type="cellIs" dxfId="1143" priority="2822" stopIfTrue="1" operator="equal">
      <formula>"A déterminer"</formula>
    </cfRule>
  </conditionalFormatting>
  <conditionalFormatting sqref="W24:AD24 N24:U25">
    <cfRule type="cellIs" dxfId="1142" priority="2666" stopIfTrue="1" operator="equal">
      <formula>"A déterminer"</formula>
    </cfRule>
  </conditionalFormatting>
  <conditionalFormatting sqref="X22">
    <cfRule type="cellIs" dxfId="1141" priority="2805" stopIfTrue="1" operator="equal">
      <formula>"cf. Liste des applications"</formula>
    </cfRule>
    <cfRule type="cellIs" dxfId="1140" priority="2806" stopIfTrue="1" operator="equal">
      <formula>"A déterminer"</formula>
    </cfRule>
  </conditionalFormatting>
  <conditionalFormatting sqref="X24:X25">
    <cfRule type="cellIs" dxfId="1139" priority="2807" stopIfTrue="1" operator="equal">
      <formula>"cf. Liste des applications"</formula>
    </cfRule>
    <cfRule type="cellIs" dxfId="1138" priority="2808" stopIfTrue="1" operator="equal">
      <formula>"A déterminer"</formula>
    </cfRule>
  </conditionalFormatting>
  <conditionalFormatting sqref="X18:Z18">
    <cfRule type="cellIs" dxfId="1137" priority="652" stopIfTrue="1" operator="equal">
      <formula>"cf. Liste des applications"</formula>
    </cfRule>
  </conditionalFormatting>
  <conditionalFormatting sqref="X19:Z19">
    <cfRule type="cellIs" dxfId="1136" priority="814" stopIfTrue="1" operator="equal">
      <formula>"cf. Liste des applications"</formula>
    </cfRule>
  </conditionalFormatting>
  <conditionalFormatting sqref="X20:AB28">
    <cfRule type="cellIs" dxfId="1135" priority="640" stopIfTrue="1" operator="equal">
      <formula>"A déterminer"</formula>
    </cfRule>
  </conditionalFormatting>
  <conditionalFormatting sqref="X30:AB34 W10:AB10 X12:AB12 X14:AB14 X16:AB16 X18:AB18 X28:AB28 X38:AB42 X46:AB46 X48:AB52 X54:AB56 X84:AB84">
    <cfRule type="cellIs" dxfId="1134" priority="2175" stopIfTrue="1" operator="equal">
      <formula>"A déterminer"</formula>
    </cfRule>
  </conditionalFormatting>
  <conditionalFormatting sqref="X49:AB49 N50:AB84">
    <cfRule type="cellIs" dxfId="1133" priority="143" stopIfTrue="1" operator="equal">
      <formula>"A déterminer"</formula>
    </cfRule>
  </conditionalFormatting>
  <conditionalFormatting sqref="X60:AB60">
    <cfRule type="cellIs" dxfId="1132" priority="1550" stopIfTrue="1" operator="equal">
      <formula>"A déterminer"</formula>
    </cfRule>
  </conditionalFormatting>
  <conditionalFormatting sqref="X64:AB64 X66:AB68">
    <cfRule type="cellIs" dxfId="1131" priority="1420" stopIfTrue="1" operator="equal">
      <formula>"A déterminer"</formula>
    </cfRule>
  </conditionalFormatting>
  <conditionalFormatting sqref="X69:AB70">
    <cfRule type="cellIs" dxfId="1130" priority="1320" stopIfTrue="1" operator="equal">
      <formula>"A déterminer"</formula>
    </cfRule>
  </conditionalFormatting>
  <conditionalFormatting sqref="X72:AB74">
    <cfRule type="cellIs" dxfId="1129" priority="1250" stopIfTrue="1" operator="equal">
      <formula>"A déterminer"</formula>
    </cfRule>
  </conditionalFormatting>
  <conditionalFormatting sqref="X74:AB76">
    <cfRule type="cellIs" dxfId="1128" priority="1186" stopIfTrue="1" operator="equal">
      <formula>"A déterminer"</formula>
    </cfRule>
  </conditionalFormatting>
  <conditionalFormatting sqref="X76:AB78">
    <cfRule type="cellIs" dxfId="1127" priority="1156" stopIfTrue="1" operator="equal">
      <formula>"A déterminer"</formula>
    </cfRule>
  </conditionalFormatting>
  <conditionalFormatting sqref="X79:AB80">
    <cfRule type="cellIs" dxfId="1126" priority="1094" stopIfTrue="1" operator="equal">
      <formula>"A déterminer"</formula>
    </cfRule>
  </conditionalFormatting>
  <conditionalFormatting sqref="X81:AB82">
    <cfRule type="cellIs" dxfId="1125" priority="1028" stopIfTrue="1" operator="equal">
      <formula>"A déterminer"</formula>
    </cfRule>
  </conditionalFormatting>
  <conditionalFormatting sqref="X83:AB83">
    <cfRule type="cellIs" dxfId="1124" priority="192" stopIfTrue="1" operator="equal">
      <formula>"A déterminer"</formula>
    </cfRule>
  </conditionalFormatting>
  <conditionalFormatting sqref="X84:AB84">
    <cfRule type="cellIs" dxfId="1123" priority="228" stopIfTrue="1" operator="equal">
      <formula>"A déterminer"</formula>
    </cfRule>
  </conditionalFormatting>
  <conditionalFormatting sqref="X85:AB86">
    <cfRule type="cellIs" dxfId="1122" priority="62" stopIfTrue="1" operator="equal">
      <formula>"A déterminer"</formula>
    </cfRule>
  </conditionalFormatting>
  <conditionalFormatting sqref="X87:AB87">
    <cfRule type="cellIs" dxfId="1121" priority="23" stopIfTrue="1" operator="equal">
      <formula>"A déterminer"</formula>
    </cfRule>
  </conditionalFormatting>
  <conditionalFormatting sqref="X62:AD62">
    <cfRule type="cellIs" dxfId="1120" priority="1480" stopIfTrue="1" operator="equal">
      <formula>"A déterminer"</formula>
    </cfRule>
  </conditionalFormatting>
  <conditionalFormatting sqref="X8:AH9">
    <cfRule type="cellIs" dxfId="1119" priority="104" stopIfTrue="1" operator="equal">
      <formula>"cf. Liste des applications"</formula>
    </cfRule>
  </conditionalFormatting>
  <conditionalFormatting sqref="X11:AH87 X10:AB10">
    <cfRule type="cellIs" dxfId="1118" priority="144" stopIfTrue="1" operator="equal">
      <formula>"cf. Liste des applications"</formula>
    </cfRule>
  </conditionalFormatting>
  <conditionalFormatting sqref="X20:AH28">
    <cfRule type="cellIs" dxfId="1117" priority="641" stopIfTrue="1" operator="equal">
      <formula>"cf. Liste des applications"</formula>
    </cfRule>
  </conditionalFormatting>
  <conditionalFormatting sqref="X34:AH34">
    <cfRule type="cellIs" dxfId="1116" priority="2042" stopIfTrue="1" operator="equal">
      <formula>"A déterminer"</formula>
    </cfRule>
  </conditionalFormatting>
  <conditionalFormatting sqref="X36:AH36">
    <cfRule type="cellIs" dxfId="1115" priority="2010" stopIfTrue="1" operator="equal">
      <formula>"A déterminer"</formula>
    </cfRule>
  </conditionalFormatting>
  <conditionalFormatting sqref="X38:AH38">
    <cfRule type="cellIs" dxfId="1114" priority="1940" stopIfTrue="1" operator="equal">
      <formula>"A déterminer"</formula>
    </cfRule>
  </conditionalFormatting>
  <conditionalFormatting sqref="X43:AH43">
    <cfRule type="cellIs" dxfId="1113" priority="1867" stopIfTrue="1" operator="equal">
      <formula>"A déterminer"</formula>
    </cfRule>
  </conditionalFormatting>
  <conditionalFormatting sqref="X45:AH45">
    <cfRule type="cellIs" dxfId="1112" priority="1815" stopIfTrue="1" operator="equal">
      <formula>"A déterminer"</formula>
    </cfRule>
  </conditionalFormatting>
  <conditionalFormatting sqref="X46:AH47">
    <cfRule type="cellIs" dxfId="1111" priority="1771" stopIfTrue="1" operator="equal">
      <formula>"A déterminer"</formula>
    </cfRule>
  </conditionalFormatting>
  <conditionalFormatting sqref="X52:AH52">
    <cfRule type="cellIs" dxfId="1110" priority="607" stopIfTrue="1" operator="equal">
      <formula>"cf. Liste des applications"</formula>
    </cfRule>
  </conditionalFormatting>
  <conditionalFormatting sqref="X56:AH59">
    <cfRule type="cellIs" dxfId="1109" priority="1582" stopIfTrue="1" operator="equal">
      <formula>"A déterminer"</formula>
    </cfRule>
  </conditionalFormatting>
  <conditionalFormatting sqref="X60:AH61">
    <cfRule type="cellIs" dxfId="1108" priority="1512" stopIfTrue="1" operator="equal">
      <formula>"A déterminer"</formula>
    </cfRule>
  </conditionalFormatting>
  <conditionalFormatting sqref="X64:AH65">
    <cfRule type="cellIs" dxfId="1107" priority="1382" stopIfTrue="1" operator="equal">
      <formula>"A déterminer"</formula>
    </cfRule>
  </conditionalFormatting>
  <conditionalFormatting sqref="X66:AH66">
    <cfRule type="cellIs" dxfId="1106" priority="538" stopIfTrue="1" operator="equal">
      <formula>"A déterminer"</formula>
    </cfRule>
  </conditionalFormatting>
  <conditionalFormatting sqref="X67:AH67">
    <cfRule type="cellIs" dxfId="1105" priority="1387" stopIfTrue="1" operator="equal">
      <formula>"A déterminer"</formula>
    </cfRule>
  </conditionalFormatting>
  <conditionalFormatting sqref="X69:AH69">
    <cfRule type="cellIs" dxfId="1104" priority="1287" stopIfTrue="1" operator="equal">
      <formula>"A déterminer"</formula>
    </cfRule>
  </conditionalFormatting>
  <conditionalFormatting sqref="X71:AH71">
    <cfRule type="cellIs" dxfId="1103" priority="1282" stopIfTrue="1" operator="equal">
      <formula>"A déterminer"</formula>
    </cfRule>
  </conditionalFormatting>
  <conditionalFormatting sqref="X79:AH79">
    <cfRule type="cellIs" dxfId="1102" priority="1061" stopIfTrue="1" operator="equal">
      <formula>"A déterminer"</formula>
    </cfRule>
  </conditionalFormatting>
  <conditionalFormatting sqref="X83:AH83">
    <cfRule type="cellIs" dxfId="1101" priority="193" stopIfTrue="1" operator="equal">
      <formula>"cf. Liste des applications"</formula>
    </cfRule>
  </conditionalFormatting>
  <conditionalFormatting sqref="X84:AH84">
    <cfRule type="cellIs" dxfId="1100" priority="229" stopIfTrue="1" operator="equal">
      <formula>"cf. Liste des applications"</formula>
    </cfRule>
  </conditionalFormatting>
  <conditionalFormatting sqref="X85:AH85">
    <cfRule type="cellIs" dxfId="1099" priority="134" stopIfTrue="1" operator="equal">
      <formula>"cf. Liste des applications"</formula>
    </cfRule>
  </conditionalFormatting>
  <conditionalFormatting sqref="X86:AH86">
    <cfRule type="cellIs" dxfId="1098" priority="64" stopIfTrue="1" operator="equal">
      <formula>"cf. Liste des applications"</formula>
    </cfRule>
  </conditionalFormatting>
  <conditionalFormatting sqref="X87:AH87">
    <cfRule type="cellIs" dxfId="1097" priority="24" stopIfTrue="1" operator="equal">
      <formula>"cf. Liste des applications"</formula>
    </cfRule>
  </conditionalFormatting>
  <conditionalFormatting sqref="X46:AI46 X50:AM50">
    <cfRule type="cellIs" dxfId="1096" priority="2565" stopIfTrue="1" operator="equal">
      <formula>"cf. Liste des applications"</formula>
    </cfRule>
  </conditionalFormatting>
  <conditionalFormatting sqref="X50:AI50">
    <cfRule type="cellIs" dxfId="1095" priority="2566" stopIfTrue="1" operator="equal">
      <formula>"A déterminer"</formula>
    </cfRule>
  </conditionalFormatting>
  <conditionalFormatting sqref="X55:AI55">
    <cfRule type="cellIs" dxfId="1094" priority="1645" stopIfTrue="1" operator="equal">
      <formula>"A déterminer"</formula>
    </cfRule>
  </conditionalFormatting>
  <conditionalFormatting sqref="X56:AI56 X58:AI58">
    <cfRule type="cellIs" dxfId="1093" priority="1601" stopIfTrue="1" operator="equal">
      <formula>"cf. Liste des applications"</formula>
    </cfRule>
  </conditionalFormatting>
  <conditionalFormatting sqref="X60:AI60">
    <cfRule type="cellIs" dxfId="1092" priority="1531" stopIfTrue="1" operator="equal">
      <formula>"cf. Liste des applications"</formula>
    </cfRule>
  </conditionalFormatting>
  <conditionalFormatting sqref="X64:AI64 X67:AI67">
    <cfRule type="cellIs" dxfId="1091" priority="1401" stopIfTrue="1" operator="equal">
      <formula>"cf. Liste des applications"</formula>
    </cfRule>
  </conditionalFormatting>
  <conditionalFormatting sqref="X66:AI66">
    <cfRule type="cellIs" dxfId="1090" priority="841" stopIfTrue="1" operator="equal">
      <formula>"cf. Liste des applications"</formula>
    </cfRule>
  </conditionalFormatting>
  <conditionalFormatting sqref="X79:AI79">
    <cfRule type="cellIs" dxfId="1089" priority="1075" stopIfTrue="1" operator="equal">
      <formula>"cf. Liste des applications"</formula>
    </cfRule>
  </conditionalFormatting>
  <conditionalFormatting sqref="X69:AL69">
    <cfRule type="cellIs" dxfId="1088" priority="1301" stopIfTrue="1" operator="equal">
      <formula>"cf. Liste des applications"</formula>
    </cfRule>
  </conditionalFormatting>
  <conditionalFormatting sqref="X49:AM49">
    <cfRule type="cellIs" dxfId="1087" priority="581" stopIfTrue="1" operator="equal">
      <formula>"cf. Liste des applications"</formula>
    </cfRule>
  </conditionalFormatting>
  <conditionalFormatting sqref="X55:AM55">
    <cfRule type="cellIs" dxfId="1086" priority="1644" stopIfTrue="1" operator="equal">
      <formula>"cf. Liste des applications"</formula>
    </cfRule>
  </conditionalFormatting>
  <conditionalFormatting sqref="Y51:AM51 Y54:AM54 AP72 AR72 AT72 AV72 AX72 AZ72 BB72 BD72 BF72 BH72:BI72 BK72 AP74 AR74 AT74 AV74 AX74 AZ74 BB74 BD74 BF74 BH74:BI74 BK74 AP76 AR76 AT76 AV76 AX76 AZ76 BB76 BD76 BF76 BH76:BI76 BK76 AP81 AR81 AT81 AV81 AX81 AZ81 BB81 BD81 BF81 BH81:BI81 BK81 AE36:AH38 AE11:AH15 AE19:AH26 AC27:AH28 AE46:AH46 AE58:AH58 AE60:AH60 I51:J51 I54:J54 I62:J62 I72:J72 I74:J74 I76:J76 I81:J81 AC48:AH50 AC63:AH64 AE76:AH76 AE34:AH34 AE52:AH52 AC55:AH56 AE66:AH66 AE68:AH68 AE70:AH70">
    <cfRule type="cellIs" dxfId="1085" priority="4100" stopIfTrue="1" operator="equal">
      <formula>"cf. Liste des applications"</formula>
    </cfRule>
  </conditionalFormatting>
  <conditionalFormatting sqref="AA21:AB21">
    <cfRule type="cellIs" dxfId="1084" priority="3382" stopIfTrue="1" operator="equal">
      <formula>"A déterminer"</formula>
    </cfRule>
  </conditionalFormatting>
  <conditionalFormatting sqref="AA55:AB55">
    <cfRule type="cellIs" dxfId="1083" priority="964" stopIfTrue="1" operator="equal">
      <formula>"A déterminer"</formula>
    </cfRule>
  </conditionalFormatting>
  <conditionalFormatting sqref="AA49:AD49">
    <cfRule type="cellIs" dxfId="1082" priority="587" stopIfTrue="1" operator="equal">
      <formula>"cf. Liste des applications"</formula>
    </cfRule>
  </conditionalFormatting>
  <conditionalFormatting sqref="AA50:AD50">
    <cfRule type="cellIs" dxfId="1081" priority="2578" stopIfTrue="1" operator="equal">
      <formula>"cf. Liste des applications"</formula>
    </cfRule>
  </conditionalFormatting>
  <conditionalFormatting sqref="AA55:AD55">
    <cfRule type="cellIs" dxfId="1080" priority="1652" stopIfTrue="1" operator="equal">
      <formula>"cf. Liste des applications"</formula>
    </cfRule>
  </conditionalFormatting>
  <conditionalFormatting sqref="AA18:AF19">
    <cfRule type="cellIs" dxfId="1079" priority="647" stopIfTrue="1" operator="equal">
      <formula>"A déterminer"</formula>
    </cfRule>
  </conditionalFormatting>
  <conditionalFormatting sqref="AA18:AH19">
    <cfRule type="cellIs" dxfId="1078" priority="648" stopIfTrue="1" operator="equal">
      <formula>"cf. Liste des applications"</formula>
    </cfRule>
  </conditionalFormatting>
  <conditionalFormatting sqref="AB31">
    <cfRule type="cellIs" dxfId="1077" priority="3428" stopIfTrue="1" operator="equal">
      <formula>"cf. Liste des applications"</formula>
    </cfRule>
    <cfRule type="cellIs" dxfId="1076" priority="3429" stopIfTrue="1" operator="equal">
      <formula>"A déterminer"</formula>
    </cfRule>
  </conditionalFormatting>
  <conditionalFormatting sqref="AB31:AB33 AD31:AH31 AJ31:AM31">
    <cfRule type="cellIs" dxfId="1075" priority="3434" stopIfTrue="1" operator="equal">
      <formula>"cf. Liste des applications"</formula>
    </cfRule>
  </conditionalFormatting>
  <conditionalFormatting sqref="AB32:AB33 AB37:AH37 AB42">
    <cfRule type="cellIs" dxfId="1074" priority="3879" stopIfTrue="1" operator="equal">
      <formula>"A déterminer"</formula>
    </cfRule>
  </conditionalFormatting>
  <conditionalFormatting sqref="AB34 AD34:AH34 AJ34:AM34">
    <cfRule type="cellIs" dxfId="1073" priority="2035" stopIfTrue="1" operator="equal">
      <formula>"cf. Liste des applications"</formula>
    </cfRule>
  </conditionalFormatting>
  <conditionalFormatting sqref="AB34">
    <cfRule type="cellIs" dxfId="1072" priority="2030" stopIfTrue="1" operator="equal">
      <formula>"A déterminer"</formula>
    </cfRule>
  </conditionalFormatting>
  <conditionalFormatting sqref="AB35">
    <cfRule type="cellIs" dxfId="1071" priority="2055" stopIfTrue="1" operator="equal">
      <formula>"cf. Liste des applications"</formula>
    </cfRule>
  </conditionalFormatting>
  <conditionalFormatting sqref="AB36 AD36:AH36 AJ36:AM36">
    <cfRule type="cellIs" dxfId="1070" priority="2003" stopIfTrue="1" operator="equal">
      <formula>"cf. Liste des applications"</formula>
    </cfRule>
  </conditionalFormatting>
  <conditionalFormatting sqref="AB36">
    <cfRule type="cellIs" dxfId="1069" priority="1997" stopIfTrue="1" operator="equal">
      <formula>"cf. Liste des applications"</formula>
    </cfRule>
    <cfRule type="cellIs" dxfId="1068" priority="1998" stopIfTrue="1" operator="equal">
      <formula>"A déterminer"</formula>
    </cfRule>
  </conditionalFormatting>
  <conditionalFormatting sqref="AB37">
    <cfRule type="cellIs" dxfId="1067" priority="1974" stopIfTrue="1" operator="equal">
      <formula>"cf. Liste des applications"</formula>
    </cfRule>
  </conditionalFormatting>
  <conditionalFormatting sqref="AB38 AD38:AH38 AJ38:AM38">
    <cfRule type="cellIs" dxfId="1066" priority="1933" stopIfTrue="1" operator="equal">
      <formula>"cf. Liste des applications"</formula>
    </cfRule>
  </conditionalFormatting>
  <conditionalFormatting sqref="AB38">
    <cfRule type="cellIs" dxfId="1065" priority="1928" stopIfTrue="1" operator="equal">
      <formula>"A déterminer"</formula>
    </cfRule>
  </conditionalFormatting>
  <conditionalFormatting sqref="AB39:AB40">
    <cfRule type="cellIs" dxfId="1064" priority="1953" stopIfTrue="1" operator="equal">
      <formula>"cf. Liste des applications"</formula>
    </cfRule>
  </conditionalFormatting>
  <conditionalFormatting sqref="AB41">
    <cfRule type="cellIs" dxfId="1063" priority="1905" stopIfTrue="1" operator="equal">
      <formula>"cf. Liste des applications"</formula>
    </cfRule>
  </conditionalFormatting>
  <conditionalFormatting sqref="AB42">
    <cfRule type="cellIs" dxfId="1062" priority="1878" stopIfTrue="1" operator="equal">
      <formula>"cf. Liste des applications"</formula>
    </cfRule>
  </conditionalFormatting>
  <conditionalFormatting sqref="AB43 AD43:AH43 AJ43:AM43">
    <cfRule type="cellIs" dxfId="1061" priority="1860" stopIfTrue="1" operator="equal">
      <formula>"cf. Liste des applications"</formula>
    </cfRule>
  </conditionalFormatting>
  <conditionalFormatting sqref="AB43">
    <cfRule type="cellIs" dxfId="1060" priority="1855" stopIfTrue="1" operator="equal">
      <formula>"A déterminer"</formula>
    </cfRule>
  </conditionalFormatting>
  <conditionalFormatting sqref="AB44">
    <cfRule type="cellIs" dxfId="1059" priority="1826" stopIfTrue="1" operator="equal">
      <formula>"cf. Liste des applications"</formula>
    </cfRule>
  </conditionalFormatting>
  <conditionalFormatting sqref="AB45 AD45:AH45 AJ45:AM45">
    <cfRule type="cellIs" dxfId="1058" priority="1808" stopIfTrue="1" operator="equal">
      <formula>"cf. Liste des applications"</formula>
    </cfRule>
  </conditionalFormatting>
  <conditionalFormatting sqref="AB45">
    <cfRule type="cellIs" dxfId="1057" priority="1803" stopIfTrue="1" operator="equal">
      <formula>"A déterminer"</formula>
    </cfRule>
  </conditionalFormatting>
  <conditionalFormatting sqref="AB46 AB49:AB50">
    <cfRule type="cellIs" dxfId="1056" priority="3093" stopIfTrue="1" operator="equal">
      <formula>"cf. Liste des applications"</formula>
    </cfRule>
    <cfRule type="cellIs" dxfId="1055" priority="3094" stopIfTrue="1" operator="equal">
      <formula>"A déterminer"</formula>
    </cfRule>
    <cfRule type="cellIs" dxfId="1054" priority="3095" stopIfTrue="1" operator="equal">
      <formula>"cf. Liste des applications"</formula>
    </cfRule>
    <cfRule type="cellIs" dxfId="1053" priority="3096" stopIfTrue="1" operator="equal">
      <formula>"A déterminer"</formula>
    </cfRule>
    <cfRule type="cellIs" dxfId="1052" priority="3097" stopIfTrue="1" operator="equal">
      <formula>"cf. Liste des applications"</formula>
    </cfRule>
    <cfRule type="cellIs" dxfId="1051" priority="3098" stopIfTrue="1" operator="equal">
      <formula>"A déterminer"</formula>
    </cfRule>
  </conditionalFormatting>
  <conditionalFormatting sqref="AB47 AD47:AH47 AJ47:AM47">
    <cfRule type="cellIs" dxfId="1050" priority="1764" stopIfTrue="1" operator="equal">
      <formula>"cf. Liste des applications"</formula>
    </cfRule>
  </conditionalFormatting>
  <conditionalFormatting sqref="AB47">
    <cfRule type="cellIs" dxfId="1049" priority="1759" stopIfTrue="1" operator="equal">
      <formula>"A déterminer"</formula>
    </cfRule>
  </conditionalFormatting>
  <conditionalFormatting sqref="AB48">
    <cfRule type="cellIs" dxfId="1048" priority="1728" stopIfTrue="1" operator="equal">
      <formula>"cf. Liste des applications"</formula>
    </cfRule>
  </conditionalFormatting>
  <conditionalFormatting sqref="AB49:AB50 AB46">
    <cfRule type="cellIs" dxfId="1047" priority="3077" stopIfTrue="1" operator="equal">
      <formula>"A déterminer"</formula>
    </cfRule>
  </conditionalFormatting>
  <conditionalFormatting sqref="AB51 AB54">
    <cfRule type="cellIs" dxfId="1046" priority="3987" stopIfTrue="1" operator="equal">
      <formula>"A déterminer"</formula>
    </cfRule>
  </conditionalFormatting>
  <conditionalFormatting sqref="AB52:AB53">
    <cfRule type="cellIs" dxfId="1045" priority="1706" stopIfTrue="1" operator="equal">
      <formula>"cf. Liste des applications"</formula>
    </cfRule>
    <cfRule type="cellIs" dxfId="1044" priority="1707" stopIfTrue="1" operator="equal">
      <formula>"A déterminer"</formula>
    </cfRule>
  </conditionalFormatting>
  <conditionalFormatting sqref="AB52:AB56 AD52:AH53 AJ52:AM53">
    <cfRule type="cellIs" dxfId="1043" priority="1712" stopIfTrue="1" operator="equal">
      <formula>"cf. Liste des applications"</formula>
    </cfRule>
  </conditionalFormatting>
  <conditionalFormatting sqref="AB55">
    <cfRule type="cellIs" dxfId="1042" priority="960" stopIfTrue="1" operator="equal">
      <formula>"A déterminer"</formula>
    </cfRule>
    <cfRule type="cellIs" dxfId="1041" priority="961" stopIfTrue="1" operator="equal">
      <formula>"cf. Liste des applications"</formula>
    </cfRule>
    <cfRule type="cellIs" dxfId="1040" priority="962" stopIfTrue="1" operator="equal">
      <formula>"A déterminer"</formula>
    </cfRule>
    <cfRule type="cellIs" dxfId="1039" priority="963" stopIfTrue="1" operator="equal">
      <formula>"cf. Liste des applications"</formula>
    </cfRule>
    <cfRule type="cellIs" dxfId="1038" priority="1659" stopIfTrue="1" operator="equal">
      <formula>"A déterminer"</formula>
    </cfRule>
    <cfRule type="cellIs" dxfId="1037" priority="1662" stopIfTrue="1" operator="equal">
      <formula>"cf. Liste des applications"</formula>
    </cfRule>
    <cfRule type="cellIs" dxfId="1036" priority="1663" stopIfTrue="1" operator="equal">
      <formula>"A déterminer"</formula>
    </cfRule>
    <cfRule type="cellIs" dxfId="1035" priority="1664" stopIfTrue="1" operator="equal">
      <formula>"cf. Liste des applications"</formula>
    </cfRule>
    <cfRule type="cellIs" dxfId="1034" priority="1665" stopIfTrue="1" operator="equal">
      <formula>"A déterminer"</formula>
    </cfRule>
    <cfRule type="cellIs" dxfId="1033" priority="1666" stopIfTrue="1" operator="equal">
      <formula>"cf. Liste des applications"</formula>
    </cfRule>
    <cfRule type="cellIs" dxfId="1032" priority="1667" stopIfTrue="1" operator="equal">
      <formula>"A déterminer"</formula>
    </cfRule>
  </conditionalFormatting>
  <conditionalFormatting sqref="AB56 AB58">
    <cfRule type="cellIs" dxfId="1031" priority="1608" stopIfTrue="1" operator="equal">
      <formula>"A déterminer"</formula>
    </cfRule>
    <cfRule type="cellIs" dxfId="1030" priority="1611" stopIfTrue="1" operator="equal">
      <formula>"cf. Liste des applications"</formula>
    </cfRule>
    <cfRule type="cellIs" dxfId="1029" priority="1612" stopIfTrue="1" operator="equal">
      <formula>"A déterminer"</formula>
    </cfRule>
    <cfRule type="cellIs" dxfId="1028" priority="1613" stopIfTrue="1" operator="equal">
      <formula>"cf. Liste des applications"</formula>
    </cfRule>
    <cfRule type="cellIs" dxfId="1027" priority="1614" stopIfTrue="1" operator="equal">
      <formula>"A déterminer"</formula>
    </cfRule>
    <cfRule type="cellIs" dxfId="1026" priority="1615" stopIfTrue="1" operator="equal">
      <formula>"cf. Liste des applications"</formula>
    </cfRule>
  </conditionalFormatting>
  <conditionalFormatting sqref="AB57 AB59 AD57:AH57 AJ57:AM57 AD59:AH59 AJ59:AM59">
    <cfRule type="cellIs" dxfId="1025" priority="1575" stopIfTrue="1" operator="equal">
      <formula>"cf. Liste des applications"</formula>
    </cfRule>
  </conditionalFormatting>
  <conditionalFormatting sqref="AB57 AB59">
    <cfRule type="cellIs" dxfId="1024" priority="1570" stopIfTrue="1" operator="equal">
      <formula>"A déterminer"</formula>
    </cfRule>
  </conditionalFormatting>
  <conditionalFormatting sqref="AB60">
    <cfRule type="cellIs" dxfId="1023" priority="1538" stopIfTrue="1" operator="equal">
      <formula>"A déterminer"</formula>
    </cfRule>
    <cfRule type="cellIs" dxfId="1022" priority="1541" stopIfTrue="1" operator="equal">
      <formula>"cf. Liste des applications"</formula>
    </cfRule>
    <cfRule type="cellIs" dxfId="1021" priority="1542" stopIfTrue="1" operator="equal">
      <formula>"A déterminer"</formula>
    </cfRule>
    <cfRule type="cellIs" dxfId="1020" priority="1543" stopIfTrue="1" operator="equal">
      <formula>"cf. Liste des applications"</formula>
    </cfRule>
    <cfRule type="cellIs" dxfId="1019" priority="1544" stopIfTrue="1" operator="equal">
      <formula>"A déterminer"</formula>
    </cfRule>
    <cfRule type="cellIs" dxfId="1018" priority="1545" stopIfTrue="1" operator="equal">
      <formula>"cf. Liste des applications"</formula>
    </cfRule>
    <cfRule type="cellIs" dxfId="1017" priority="1546" stopIfTrue="1" operator="equal">
      <formula>"A déterminer"</formula>
    </cfRule>
    <cfRule type="cellIs" dxfId="1016" priority="1549" stopIfTrue="1" operator="equal">
      <formula>"cf. Liste des applications"</formula>
    </cfRule>
  </conditionalFormatting>
  <conditionalFormatting sqref="AB61 AD61:AH61 AJ61:AM61">
    <cfRule type="cellIs" dxfId="1015" priority="1505" stopIfTrue="1" operator="equal">
      <formula>"cf. Liste des applications"</formula>
    </cfRule>
  </conditionalFormatting>
  <conditionalFormatting sqref="AB61">
    <cfRule type="cellIs" dxfId="1014" priority="1500" stopIfTrue="1" operator="equal">
      <formula>"A déterminer"</formula>
    </cfRule>
  </conditionalFormatting>
  <conditionalFormatting sqref="AB62">
    <cfRule type="cellIs" dxfId="1013" priority="1474" stopIfTrue="1" operator="equal">
      <formula>"A déterminer"</formula>
    </cfRule>
    <cfRule type="cellIs" dxfId="1012" priority="1479" stopIfTrue="1" operator="equal">
      <formula>"cf. Liste des applications"</formula>
    </cfRule>
  </conditionalFormatting>
  <conditionalFormatting sqref="AB62:AB63 AD63:AH63 AJ63:AM63">
    <cfRule type="cellIs" dxfId="1011" priority="1445" stopIfTrue="1" operator="equal">
      <formula>"cf. Liste des applications"</formula>
    </cfRule>
  </conditionalFormatting>
  <conditionalFormatting sqref="AB63">
    <cfRule type="cellIs" dxfId="1010" priority="1439" stopIfTrue="1" operator="equal">
      <formula>"cf. Liste des applications"</formula>
    </cfRule>
    <cfRule type="cellIs" dxfId="1009" priority="1440" stopIfTrue="1" operator="equal">
      <formula>"A déterminer"</formula>
    </cfRule>
  </conditionalFormatting>
  <conditionalFormatting sqref="AB64 AB67">
    <cfRule type="cellIs" dxfId="1008" priority="1408" stopIfTrue="1" operator="equal">
      <formula>"A déterminer"</formula>
    </cfRule>
    <cfRule type="cellIs" dxfId="1007" priority="1411" stopIfTrue="1" operator="equal">
      <formula>"cf. Liste des applications"</formula>
    </cfRule>
    <cfRule type="cellIs" dxfId="1006" priority="1412" stopIfTrue="1" operator="equal">
      <formula>"A déterminer"</formula>
    </cfRule>
    <cfRule type="cellIs" dxfId="1005" priority="1413" stopIfTrue="1" operator="equal">
      <formula>"cf. Liste des applications"</formula>
    </cfRule>
    <cfRule type="cellIs" dxfId="1004" priority="1414" stopIfTrue="1" operator="equal">
      <formula>"A déterminer"</formula>
    </cfRule>
    <cfRule type="cellIs" dxfId="1003" priority="1415" stopIfTrue="1" operator="equal">
      <formula>"cf. Liste des applications"</formula>
    </cfRule>
    <cfRule type="cellIs" dxfId="1002" priority="1416" stopIfTrue="1" operator="equal">
      <formula>"A déterminer"</formula>
    </cfRule>
    <cfRule type="cellIs" dxfId="1001" priority="1419" stopIfTrue="1" operator="equal">
      <formula>"cf. Liste des applications"</formula>
    </cfRule>
  </conditionalFormatting>
  <conditionalFormatting sqref="AB65 AD65:AH65 AJ65:AM65">
    <cfRule type="cellIs" dxfId="1000" priority="1375" stopIfTrue="1" operator="equal">
      <formula>"cf. Liste des applications"</formula>
    </cfRule>
  </conditionalFormatting>
  <conditionalFormatting sqref="AB65">
    <cfRule type="cellIs" dxfId="999" priority="1370" stopIfTrue="1" operator="equal">
      <formula>"A déterminer"</formula>
    </cfRule>
  </conditionalFormatting>
  <conditionalFormatting sqref="AB66">
    <cfRule type="cellIs" dxfId="998" priority="845" stopIfTrue="1" operator="equal">
      <formula>"A déterminer"</formula>
    </cfRule>
    <cfRule type="cellIs" dxfId="997" priority="848" stopIfTrue="1" operator="equal">
      <formula>"cf. Liste des applications"</formula>
    </cfRule>
    <cfRule type="cellIs" dxfId="996" priority="849" stopIfTrue="1" operator="equal">
      <formula>"A déterminer"</formula>
    </cfRule>
    <cfRule type="cellIs" dxfId="995" priority="850" stopIfTrue="1" operator="equal">
      <formula>"cf. Liste des applications"</formula>
    </cfRule>
    <cfRule type="cellIs" dxfId="994" priority="851" stopIfTrue="1" operator="equal">
      <formula>"A déterminer"</formula>
    </cfRule>
    <cfRule type="cellIs" dxfId="993" priority="852" stopIfTrue="1" operator="equal">
      <formula>"cf. Liste des applications"</formula>
    </cfRule>
    <cfRule type="cellIs" dxfId="992" priority="853" stopIfTrue="1" operator="equal">
      <formula>"A déterminer"</formula>
    </cfRule>
    <cfRule type="cellIs" dxfId="991" priority="856" stopIfTrue="1" operator="equal">
      <formula>"cf. Liste des applications"</formula>
    </cfRule>
    <cfRule type="cellIs" dxfId="990" priority="857" stopIfTrue="1" operator="equal">
      <formula>"A déterminer"</formula>
    </cfRule>
  </conditionalFormatting>
  <conditionalFormatting sqref="AB68 AD68:AH68 AJ68:AM68">
    <cfRule type="cellIs" dxfId="989" priority="1345" stopIfTrue="1" operator="equal">
      <formula>"cf. Liste des applications"</formula>
    </cfRule>
  </conditionalFormatting>
  <conditionalFormatting sqref="AB68">
    <cfRule type="cellIs" dxfId="988" priority="1339" stopIfTrue="1" operator="equal">
      <formula>"cf. Liste des applications"</formula>
    </cfRule>
    <cfRule type="cellIs" dxfId="987" priority="1340" stopIfTrue="1" operator="equal">
      <formula>"A déterminer"</formula>
    </cfRule>
  </conditionalFormatting>
  <conditionalFormatting sqref="AB69">
    <cfRule type="cellIs" dxfId="986" priority="1308" stopIfTrue="1" operator="equal">
      <formula>"A déterminer"</formula>
    </cfRule>
    <cfRule type="cellIs" dxfId="985" priority="1311" stopIfTrue="1" operator="equal">
      <formula>"cf. Liste des applications"</formula>
    </cfRule>
    <cfRule type="cellIs" dxfId="984" priority="1312" stopIfTrue="1" operator="equal">
      <formula>"A déterminer"</formula>
    </cfRule>
    <cfRule type="cellIs" dxfId="983" priority="1313" stopIfTrue="1" operator="equal">
      <formula>"cf. Liste des applications"</formula>
    </cfRule>
    <cfRule type="cellIs" dxfId="982" priority="1314" stopIfTrue="1" operator="equal">
      <formula>"A déterminer"</formula>
    </cfRule>
    <cfRule type="cellIs" dxfId="981" priority="1315" stopIfTrue="1" operator="equal">
      <formula>"cf. Liste des applications"</formula>
    </cfRule>
    <cfRule type="cellIs" dxfId="980" priority="1316" stopIfTrue="1" operator="equal">
      <formula>"A déterminer"</formula>
    </cfRule>
    <cfRule type="cellIs" dxfId="979" priority="1319" stopIfTrue="1" operator="equal">
      <formula>"cf. Liste des applications"</formula>
    </cfRule>
  </conditionalFormatting>
  <conditionalFormatting sqref="AB70:AB71 AD70:AH71 AJ70:AM71">
    <cfRule type="cellIs" dxfId="978" priority="1275" stopIfTrue="1" operator="equal">
      <formula>"cf. Liste des applications"</formula>
    </cfRule>
  </conditionalFormatting>
  <conditionalFormatting sqref="AB70:AB71">
    <cfRule type="cellIs" dxfId="977" priority="1270" stopIfTrue="1" operator="equal">
      <formula>"A déterminer"</formula>
    </cfRule>
  </conditionalFormatting>
  <conditionalFormatting sqref="AB72">
    <cfRule type="cellIs" dxfId="976" priority="1244" stopIfTrue="1" operator="equal">
      <formula>"A déterminer"</formula>
    </cfRule>
    <cfRule type="cellIs" dxfId="975" priority="1249" stopIfTrue="1" operator="equal">
      <formula>"cf. Liste des applications"</formula>
    </cfRule>
  </conditionalFormatting>
  <conditionalFormatting sqref="AB73 AD73:AH73 AJ73:AM73">
    <cfRule type="cellIs" dxfId="974" priority="1211" stopIfTrue="1" operator="equal">
      <formula>"cf. Liste des applications"</formula>
    </cfRule>
  </conditionalFormatting>
  <conditionalFormatting sqref="AB73">
    <cfRule type="cellIs" dxfId="973" priority="1206" stopIfTrue="1" operator="equal">
      <formula>"A déterminer"</formula>
    </cfRule>
  </conditionalFormatting>
  <conditionalFormatting sqref="AB74">
    <cfRule type="cellIs" dxfId="972" priority="1180" stopIfTrue="1" operator="equal">
      <formula>"A déterminer"</formula>
    </cfRule>
    <cfRule type="cellIs" dxfId="971" priority="1185" stopIfTrue="1" operator="equal">
      <formula>"cf. Liste des applications"</formula>
    </cfRule>
  </conditionalFormatting>
  <conditionalFormatting sqref="AB75 AD75:AH75 AJ75:AM75">
    <cfRule type="cellIs" dxfId="970" priority="1119" stopIfTrue="1" operator="equal">
      <formula>"cf. Liste des applications"</formula>
    </cfRule>
  </conditionalFormatting>
  <conditionalFormatting sqref="AB75">
    <cfRule type="cellIs" dxfId="969" priority="1113" stopIfTrue="1" operator="equal">
      <formula>"cf. Liste des applications"</formula>
    </cfRule>
    <cfRule type="cellIs" dxfId="968" priority="1114" stopIfTrue="1" operator="equal">
      <formula>"A déterminer"</formula>
    </cfRule>
  </conditionalFormatting>
  <conditionalFormatting sqref="AB76">
    <cfRule type="cellIs" dxfId="967" priority="1150" stopIfTrue="1" operator="equal">
      <formula>"A déterminer"</formula>
    </cfRule>
    <cfRule type="cellIs" dxfId="966" priority="1155" stopIfTrue="1" operator="equal">
      <formula>"cf. Liste des applications"</formula>
    </cfRule>
  </conditionalFormatting>
  <conditionalFormatting sqref="AB77:AB78 AD77:AH78 AJ77:AM78">
    <cfRule type="cellIs" dxfId="965" priority="1051" stopIfTrue="1" operator="equal">
      <formula>"cf. Liste des applications"</formula>
    </cfRule>
  </conditionalFormatting>
  <conditionalFormatting sqref="AB77:AB78">
    <cfRule type="cellIs" dxfId="964" priority="1045" stopIfTrue="1" operator="equal">
      <formula>"cf. Liste des applications"</formula>
    </cfRule>
    <cfRule type="cellIs" dxfId="963" priority="1046" stopIfTrue="1" operator="equal">
      <formula>"A déterminer"</formula>
    </cfRule>
  </conditionalFormatting>
  <conditionalFormatting sqref="AB79">
    <cfRule type="cellIs" dxfId="962" priority="1082" stopIfTrue="1" operator="equal">
      <formula>"A déterminer"</formula>
    </cfRule>
    <cfRule type="cellIs" dxfId="961" priority="1085" stopIfTrue="1" operator="equal">
      <formula>"cf. Liste des applications"</formula>
    </cfRule>
    <cfRule type="cellIs" dxfId="960" priority="1086" stopIfTrue="1" operator="equal">
      <formula>"A déterminer"</formula>
    </cfRule>
    <cfRule type="cellIs" dxfId="959" priority="1087" stopIfTrue="1" operator="equal">
      <formula>"cf. Liste des applications"</formula>
    </cfRule>
    <cfRule type="cellIs" dxfId="958" priority="1088" stopIfTrue="1" operator="equal">
      <formula>"A déterminer"</formula>
    </cfRule>
    <cfRule type="cellIs" dxfId="957" priority="1089" stopIfTrue="1" operator="equal">
      <formula>"cf. Liste des applications"</formula>
    </cfRule>
    <cfRule type="cellIs" dxfId="956" priority="1090" stopIfTrue="1" operator="equal">
      <formula>"A déterminer"</formula>
    </cfRule>
    <cfRule type="cellIs" dxfId="955" priority="1093" stopIfTrue="1" operator="equal">
      <formula>"cf. Liste des applications"</formula>
    </cfRule>
  </conditionalFormatting>
  <conditionalFormatting sqref="AB80 AB82 AD80:AH80 AJ80:AM80 AD82:AH82 AJ82:AM82">
    <cfRule type="cellIs" dxfId="954" priority="991" stopIfTrue="1" operator="equal">
      <formula>"cf. Liste des applications"</formula>
    </cfRule>
  </conditionalFormatting>
  <conditionalFormatting sqref="AB80 AB82">
    <cfRule type="cellIs" dxfId="953" priority="985" stopIfTrue="1" operator="equal">
      <formula>"cf. Liste des applications"</formula>
    </cfRule>
    <cfRule type="cellIs" dxfId="952" priority="986" stopIfTrue="1" operator="equal">
      <formula>"A déterminer"</formula>
    </cfRule>
  </conditionalFormatting>
  <conditionalFormatting sqref="AB81">
    <cfRule type="cellIs" dxfId="951" priority="1022" stopIfTrue="1" operator="equal">
      <formula>"A déterminer"</formula>
    </cfRule>
    <cfRule type="cellIs" dxfId="950" priority="1027" stopIfTrue="1" operator="equal">
      <formula>"cf. Liste des applications"</formula>
    </cfRule>
  </conditionalFormatting>
  <conditionalFormatting sqref="AB83:AB85 AB87">
    <cfRule type="cellIs" dxfId="949" priority="339" stopIfTrue="1" operator="equal">
      <formula>"A déterminer"</formula>
    </cfRule>
    <cfRule type="cellIs" dxfId="948" priority="341" stopIfTrue="1" operator="equal">
      <formula>"cf. Liste des applications"</formula>
    </cfRule>
  </conditionalFormatting>
  <conditionalFormatting sqref="AB86">
    <cfRule type="cellIs" dxfId="947" priority="58" stopIfTrue="1" operator="equal">
      <formula>"A déterminer"</formula>
    </cfRule>
    <cfRule type="cellIs" dxfId="946" priority="61" stopIfTrue="1" operator="equal">
      <formula>"cf. Liste des applications"</formula>
    </cfRule>
  </conditionalFormatting>
  <conditionalFormatting sqref="AB31:AC31">
    <cfRule type="cellIs" dxfId="945" priority="2950" stopIfTrue="1" operator="equal">
      <formula>"cf. Liste des applications"</formula>
    </cfRule>
    <cfRule type="cellIs" dxfId="944" priority="2951" stopIfTrue="1" operator="equal">
      <formula>"A déterminer"</formula>
    </cfRule>
  </conditionalFormatting>
  <conditionalFormatting sqref="AB34:AC34">
    <cfRule type="cellIs" dxfId="943" priority="2013" stopIfTrue="1" operator="equal">
      <formula>"cf. Liste des applications"</formula>
    </cfRule>
    <cfRule type="cellIs" dxfId="942" priority="2014" stopIfTrue="1" operator="equal">
      <formula>"A déterminer"</formula>
    </cfRule>
  </conditionalFormatting>
  <conditionalFormatting sqref="AB36:AC36">
    <cfRule type="cellIs" dxfId="941" priority="1981" stopIfTrue="1" operator="equal">
      <formula>"cf. Liste des applications"</formula>
    </cfRule>
    <cfRule type="cellIs" dxfId="940" priority="1982" stopIfTrue="1" operator="equal">
      <formula>"A déterminer"</formula>
    </cfRule>
  </conditionalFormatting>
  <conditionalFormatting sqref="AB38:AC38">
    <cfRule type="cellIs" dxfId="939" priority="1911" stopIfTrue="1" operator="equal">
      <formula>"cf. Liste des applications"</formula>
    </cfRule>
    <cfRule type="cellIs" dxfId="938" priority="1912" stopIfTrue="1" operator="equal">
      <formula>"A déterminer"</formula>
    </cfRule>
  </conditionalFormatting>
  <conditionalFormatting sqref="AB41:AC41">
    <cfRule type="cellIs" dxfId="937" priority="1883" stopIfTrue="1" operator="equal">
      <formula>"cf. Liste des applications"</formula>
    </cfRule>
    <cfRule type="cellIs" dxfId="936" priority="1884" stopIfTrue="1" operator="equal">
      <formula>"A déterminer"</formula>
    </cfRule>
  </conditionalFormatting>
  <conditionalFormatting sqref="AB43:AC43">
    <cfRule type="cellIs" dxfId="935" priority="1838" stopIfTrue="1" operator="equal">
      <formula>"cf. Liste des applications"</formula>
    </cfRule>
  </conditionalFormatting>
  <conditionalFormatting sqref="AB45:AC45">
    <cfRule type="cellIs" dxfId="934" priority="1786" stopIfTrue="1" operator="equal">
      <formula>"cf. Liste des applications"</formula>
    </cfRule>
  </conditionalFormatting>
  <conditionalFormatting sqref="AB47:AC47">
    <cfRule type="cellIs" dxfId="933" priority="1742" stopIfTrue="1" operator="equal">
      <formula>"cf. Liste des applications"</formula>
    </cfRule>
  </conditionalFormatting>
  <conditionalFormatting sqref="AB53:AC53">
    <cfRule type="cellIs" dxfId="932" priority="1692" stopIfTrue="1" operator="equal">
      <formula>"cf. Liste des applications"</formula>
    </cfRule>
    <cfRule type="cellIs" dxfId="931" priority="1693" stopIfTrue="1" operator="equal">
      <formula>"A déterminer"</formula>
    </cfRule>
  </conditionalFormatting>
  <conditionalFormatting sqref="AB57:AC57 AB59:AC59">
    <cfRule type="cellIs" dxfId="930" priority="1553" stopIfTrue="1" operator="equal">
      <formula>"cf. Liste des applications"</formula>
    </cfRule>
  </conditionalFormatting>
  <conditionalFormatting sqref="AB61:AC61">
    <cfRule type="cellIs" dxfId="929" priority="1483" stopIfTrue="1" operator="equal">
      <formula>"cf. Liste des applications"</formula>
    </cfRule>
  </conditionalFormatting>
  <conditionalFormatting sqref="AB63:AC63">
    <cfRule type="cellIs" dxfId="928" priority="1425" stopIfTrue="1" operator="equal">
      <formula>"cf. Liste des applications"</formula>
    </cfRule>
    <cfRule type="cellIs" dxfId="927" priority="1426" stopIfTrue="1" operator="equal">
      <formula>"A déterminer"</formula>
    </cfRule>
  </conditionalFormatting>
  <conditionalFormatting sqref="AB65:AC65">
    <cfRule type="cellIs" dxfId="926" priority="1353" stopIfTrue="1" operator="equal">
      <formula>"cf. Liste des applications"</formula>
    </cfRule>
  </conditionalFormatting>
  <conditionalFormatting sqref="AB68:AC68">
    <cfRule type="cellIs" dxfId="925" priority="1325" stopIfTrue="1" operator="equal">
      <formula>"cf. Liste des applications"</formula>
    </cfRule>
    <cfRule type="cellIs" dxfId="924" priority="1326" stopIfTrue="1" operator="equal">
      <formula>"A déterminer"</formula>
    </cfRule>
  </conditionalFormatting>
  <conditionalFormatting sqref="AB71:AC71">
    <cfRule type="cellIs" dxfId="923" priority="1253" stopIfTrue="1" operator="equal">
      <formula>"cf. Liste des applications"</formula>
    </cfRule>
  </conditionalFormatting>
  <conditionalFormatting sqref="AB73:AC73">
    <cfRule type="cellIs" dxfId="922" priority="1189" stopIfTrue="1" operator="equal">
      <formula>"cf. Liste des applications"</formula>
    </cfRule>
    <cfRule type="cellIs" dxfId="921" priority="1190" stopIfTrue="1" operator="equal">
      <formula>"A déterminer"</formula>
    </cfRule>
  </conditionalFormatting>
  <conditionalFormatting sqref="AB75:AC75">
    <cfRule type="cellIs" dxfId="920" priority="1099" stopIfTrue="1" operator="equal">
      <formula>"cf. Liste des applications"</formula>
    </cfRule>
    <cfRule type="cellIs" dxfId="919" priority="1100" stopIfTrue="1" operator="equal">
      <formula>"A déterminer"</formula>
    </cfRule>
  </conditionalFormatting>
  <conditionalFormatting sqref="AB80:AC80 AB82:AC82">
    <cfRule type="cellIs" dxfId="918" priority="971" stopIfTrue="1" operator="equal">
      <formula>"cf. Liste des applications"</formula>
    </cfRule>
    <cfRule type="cellIs" dxfId="917" priority="972" stopIfTrue="1" operator="equal">
      <formula>"A déterminer"</formula>
    </cfRule>
  </conditionalFormatting>
  <conditionalFormatting sqref="AB20:AD20 AF20:AM20">
    <cfRule type="cellIs" dxfId="916" priority="3390" stopIfTrue="1" operator="equal">
      <formula>"A déterminer"</formula>
    </cfRule>
  </conditionalFormatting>
  <conditionalFormatting sqref="AB20:AD20">
    <cfRule type="cellIs" dxfId="915" priority="3389" stopIfTrue="1" operator="equal">
      <formula>"cf. Liste des applications"</formula>
    </cfRule>
  </conditionalFormatting>
  <conditionalFormatting sqref="AB43:AD43">
    <cfRule type="cellIs" dxfId="914" priority="1839" stopIfTrue="1" operator="equal">
      <formula>"A déterminer"</formula>
    </cfRule>
  </conditionalFormatting>
  <conditionalFormatting sqref="AB45:AD45">
    <cfRule type="cellIs" dxfId="913" priority="1787" stopIfTrue="1" operator="equal">
      <formula>"A déterminer"</formula>
    </cfRule>
  </conditionalFormatting>
  <conditionalFormatting sqref="AB46:AD46 AB49:AB51 AB58:AD58 AB54:AB56">
    <cfRule type="cellIs" dxfId="912" priority="3100" stopIfTrue="1" operator="equal">
      <formula>"A déterminer"</formula>
    </cfRule>
  </conditionalFormatting>
  <conditionalFormatting sqref="AB47:AD47">
    <cfRule type="cellIs" dxfId="911" priority="1743" stopIfTrue="1" operator="equal">
      <formula>"A déterminer"</formula>
    </cfRule>
  </conditionalFormatting>
  <conditionalFormatting sqref="AB56:AD56 X58:AB58">
    <cfRule type="cellIs" dxfId="910" priority="1616" stopIfTrue="1" operator="equal">
      <formula>"A déterminer"</formula>
    </cfRule>
  </conditionalFormatting>
  <conditionalFormatting sqref="AB57:AD57 AB59:AD59">
    <cfRule type="cellIs" dxfId="909" priority="1554" stopIfTrue="1" operator="equal">
      <formula>"A déterminer"</formula>
    </cfRule>
  </conditionalFormatting>
  <conditionalFormatting sqref="AB61:AD61">
    <cfRule type="cellIs" dxfId="908" priority="1484" stopIfTrue="1" operator="equal">
      <formula>"A déterminer"</formula>
    </cfRule>
  </conditionalFormatting>
  <conditionalFormatting sqref="AB65:AD65">
    <cfRule type="cellIs" dxfId="907" priority="1354" stopIfTrue="1" operator="equal">
      <formula>"A déterminer"</formula>
    </cfRule>
  </conditionalFormatting>
  <conditionalFormatting sqref="AB70:AD70">
    <cfRule type="cellIs" dxfId="906" priority="519" stopIfTrue="1" operator="equal">
      <formula>"A déterminer"</formula>
    </cfRule>
  </conditionalFormatting>
  <conditionalFormatting sqref="AB71:AD71">
    <cfRule type="cellIs" dxfId="905" priority="1254" stopIfTrue="1" operator="equal">
      <formula>"A déterminer"</formula>
    </cfRule>
  </conditionalFormatting>
  <conditionalFormatting sqref="AB72:AD72">
    <cfRule type="cellIs" dxfId="904" priority="1238" stopIfTrue="1" operator="equal">
      <formula>"cf. Liste des applications"</formula>
    </cfRule>
  </conditionalFormatting>
  <conditionalFormatting sqref="AB74:AD74">
    <cfRule type="cellIs" dxfId="903" priority="1174" stopIfTrue="1" operator="equal">
      <formula>"cf. Liste des applications"</formula>
    </cfRule>
  </conditionalFormatting>
  <conditionalFormatting sqref="AB76:AD76">
    <cfRule type="cellIs" dxfId="902" priority="1144" stopIfTrue="1" operator="equal">
      <formula>"cf. Liste des applications"</formula>
    </cfRule>
  </conditionalFormatting>
  <conditionalFormatting sqref="AB77:AD77">
    <cfRule type="cellIs" dxfId="901" priority="503" stopIfTrue="1" operator="equal">
      <formula>"cf. Liste des applications"</formula>
    </cfRule>
    <cfRule type="cellIs" dxfId="900" priority="504" stopIfTrue="1" operator="equal">
      <formula>"A déterminer"</formula>
    </cfRule>
  </conditionalFormatting>
  <conditionalFormatting sqref="AB78:AD78">
    <cfRule type="cellIs" dxfId="899" priority="1031" stopIfTrue="1" operator="equal">
      <formula>"cf. Liste des applications"</formula>
    </cfRule>
    <cfRule type="cellIs" dxfId="898" priority="1032" stopIfTrue="1" operator="equal">
      <formula>"A déterminer"</formula>
    </cfRule>
  </conditionalFormatting>
  <conditionalFormatting sqref="AB81:AD81">
    <cfRule type="cellIs" dxfId="897" priority="1016" stopIfTrue="1" operator="equal">
      <formula>"cf. Liste des applications"</formula>
    </cfRule>
  </conditionalFormatting>
  <conditionalFormatting sqref="AB83:AD83">
    <cfRule type="cellIs" dxfId="896" priority="187" stopIfTrue="1" operator="equal">
      <formula>"cf. Liste des applications"</formula>
    </cfRule>
  </conditionalFormatting>
  <conditionalFormatting sqref="AB84:AD84">
    <cfRule type="cellIs" dxfId="895" priority="223" stopIfTrue="1" operator="equal">
      <formula>"cf. Liste des applications"</formula>
    </cfRule>
  </conditionalFormatting>
  <conditionalFormatting sqref="AB85:AD86">
    <cfRule type="cellIs" dxfId="894" priority="53" stopIfTrue="1" operator="equal">
      <formula>"cf. Liste des applications"</formula>
    </cfRule>
  </conditionalFormatting>
  <conditionalFormatting sqref="AB87:AD87">
    <cfRule type="cellIs" dxfId="893" priority="18" stopIfTrue="1" operator="equal">
      <formula>"cf. Liste des applications"</formula>
    </cfRule>
  </conditionalFormatting>
  <conditionalFormatting sqref="AB34:AH34">
    <cfRule type="cellIs" dxfId="892" priority="2022" stopIfTrue="1" operator="equal">
      <formula>"cf. Liste des applications"</formula>
    </cfRule>
  </conditionalFormatting>
  <conditionalFormatting sqref="AB40:AH40">
    <cfRule type="cellIs" dxfId="891" priority="1960" stopIfTrue="1" operator="equal">
      <formula>"A déterminer"</formula>
    </cfRule>
  </conditionalFormatting>
  <conditionalFormatting sqref="AB46:AH46 AB49:AB51 AB58:AH58">
    <cfRule type="cellIs" dxfId="890" priority="3099" stopIfTrue="1" operator="equal">
      <formula>"cf. Liste des applications"</formula>
    </cfRule>
  </conditionalFormatting>
  <conditionalFormatting sqref="AB73:AH73">
    <cfRule type="cellIs" dxfId="889" priority="1198" stopIfTrue="1" operator="equal">
      <formula>"cf. Liste des applications"</formula>
    </cfRule>
  </conditionalFormatting>
  <conditionalFormatting sqref="AB22:AM24">
    <cfRule type="cellIs" dxfId="888" priority="2661" stopIfTrue="1" operator="equal">
      <formula>"cf. Liste des applications"</formula>
    </cfRule>
    <cfRule type="cellIs" dxfId="887" priority="2662" stopIfTrue="1" operator="equal">
      <formula>"A déterminer"</formula>
    </cfRule>
  </conditionalFormatting>
  <conditionalFormatting sqref="AB25:AM25">
    <cfRule type="cellIs" dxfId="886" priority="3243" stopIfTrue="1" operator="equal">
      <formula>"cf. Liste des applications"</formula>
    </cfRule>
    <cfRule type="cellIs" dxfId="885" priority="3244" stopIfTrue="1" operator="equal">
      <formula>"A déterminer"</formula>
    </cfRule>
  </conditionalFormatting>
  <conditionalFormatting sqref="AB26:AM28">
    <cfRule type="cellIs" dxfId="884" priority="2584" stopIfTrue="1" operator="equal">
      <formula>"cf. Liste des applications"</formula>
    </cfRule>
    <cfRule type="cellIs" dxfId="883" priority="2585" stopIfTrue="1" operator="equal">
      <formula>"A déterminer"</formula>
    </cfRule>
  </conditionalFormatting>
  <conditionalFormatting sqref="AB29:AM29">
    <cfRule type="cellIs" dxfId="882" priority="2800" stopIfTrue="1" operator="equal">
      <formula>"cf. Liste des applications"</formula>
    </cfRule>
    <cfRule type="cellIs" dxfId="881" priority="2802" stopIfTrue="1" operator="equal">
      <formula>"A déterminer"</formula>
    </cfRule>
  </conditionalFormatting>
  <conditionalFormatting sqref="AB32:AM33">
    <cfRule type="cellIs" dxfId="880" priority="2944" stopIfTrue="1" operator="equal">
      <formula>"cf. Liste des applications"</formula>
    </cfRule>
    <cfRule type="cellIs" dxfId="879" priority="2945" stopIfTrue="1" operator="equal">
      <formula>"A déterminer"</formula>
    </cfRule>
  </conditionalFormatting>
  <conditionalFormatting sqref="AB35:AM35">
    <cfRule type="cellIs" dxfId="878" priority="2045" stopIfTrue="1" operator="equal">
      <formula>"cf. Liste des applications"</formula>
    </cfRule>
    <cfRule type="cellIs" dxfId="877" priority="2046" stopIfTrue="1" operator="equal">
      <formula>"A déterminer"</formula>
    </cfRule>
  </conditionalFormatting>
  <conditionalFormatting sqref="AB37:AM37">
    <cfRule type="cellIs" dxfId="876" priority="1966" stopIfTrue="1" operator="equal">
      <formula>"cf. Liste des applications"</formula>
    </cfRule>
    <cfRule type="cellIs" dxfId="875" priority="1967" stopIfTrue="1" operator="equal">
      <formula>"A déterminer"</formula>
    </cfRule>
  </conditionalFormatting>
  <conditionalFormatting sqref="AB38:AM38">
    <cfRule type="cellIs" dxfId="874" priority="1917" stopIfTrue="1" operator="equal">
      <formula>"cf. Liste des applications"</formula>
    </cfRule>
  </conditionalFormatting>
  <conditionalFormatting sqref="AB40:AM40">
    <cfRule type="cellIs" dxfId="873" priority="1943" stopIfTrue="1" operator="equal">
      <formula>"cf. Liste des applications"</formula>
    </cfRule>
    <cfRule type="cellIs" dxfId="872" priority="1944" stopIfTrue="1" operator="equal">
      <formula>"A déterminer"</formula>
    </cfRule>
  </conditionalFormatting>
  <conditionalFormatting sqref="AB41:AM41">
    <cfRule type="cellIs" dxfId="871" priority="877" stopIfTrue="1" operator="equal">
      <formula>"cf. Liste des applications"</formula>
    </cfRule>
  </conditionalFormatting>
  <conditionalFormatting sqref="AB42:AM42">
    <cfRule type="cellIs" dxfId="870" priority="1870" stopIfTrue="1" operator="equal">
      <formula>"cf. Liste des applications"</formula>
    </cfRule>
    <cfRule type="cellIs" dxfId="869" priority="1871" stopIfTrue="1" operator="equal">
      <formula>"A déterminer"</formula>
    </cfRule>
  </conditionalFormatting>
  <conditionalFormatting sqref="AB43:AM43">
    <cfRule type="cellIs" dxfId="868" priority="1844" stopIfTrue="1" operator="equal">
      <formula>"cf. Liste des applications"</formula>
    </cfRule>
  </conditionalFormatting>
  <conditionalFormatting sqref="AB44:AM44">
    <cfRule type="cellIs" dxfId="867" priority="1818" stopIfTrue="1" operator="equal">
      <formula>"cf. Liste des applications"</formula>
    </cfRule>
    <cfRule type="cellIs" dxfId="866" priority="1819" stopIfTrue="1" operator="equal">
      <formula>"A déterminer"</formula>
    </cfRule>
  </conditionalFormatting>
  <conditionalFormatting sqref="AB45:AM45">
    <cfRule type="cellIs" dxfId="865" priority="1792" stopIfTrue="1" operator="equal">
      <formula>"cf. Liste des applications"</formula>
    </cfRule>
  </conditionalFormatting>
  <conditionalFormatting sqref="AB47:AM47">
    <cfRule type="cellIs" dxfId="864" priority="1748" stopIfTrue="1" operator="equal">
      <formula>"cf. Liste des applications"</formula>
    </cfRule>
  </conditionalFormatting>
  <conditionalFormatting sqref="AB48:AM48">
    <cfRule type="cellIs" dxfId="863" priority="1720" stopIfTrue="1" operator="equal">
      <formula>"cf. Liste des applications"</formula>
    </cfRule>
    <cfRule type="cellIs" dxfId="862" priority="1721" stopIfTrue="1" operator="equal">
      <formula>"A déterminer"</formula>
    </cfRule>
  </conditionalFormatting>
  <conditionalFormatting sqref="AB57:AM57 AB59:AM59">
    <cfRule type="cellIs" dxfId="861" priority="1559" stopIfTrue="1" operator="equal">
      <formula>"cf. Liste des applications"</formula>
    </cfRule>
  </conditionalFormatting>
  <conditionalFormatting sqref="AB61:AM61">
    <cfRule type="cellIs" dxfId="860" priority="1489" stopIfTrue="1" operator="equal">
      <formula>"cf. Liste des applications"</formula>
    </cfRule>
  </conditionalFormatting>
  <conditionalFormatting sqref="AB65:AM65">
    <cfRule type="cellIs" dxfId="859" priority="1359" stopIfTrue="1" operator="equal">
      <formula>"cf. Liste des applications"</formula>
    </cfRule>
  </conditionalFormatting>
  <conditionalFormatting sqref="AB70:AM70">
    <cfRule type="cellIs" dxfId="858" priority="520" stopIfTrue="1" operator="equal">
      <formula>"cf. Liste des applications"</formula>
    </cfRule>
  </conditionalFormatting>
  <conditionalFormatting sqref="AB71:AM71">
    <cfRule type="cellIs" dxfId="857" priority="1259" stopIfTrue="1" operator="equal">
      <formula>"cf. Liste des applications"</formula>
    </cfRule>
  </conditionalFormatting>
  <conditionalFormatting sqref="AC31">
    <cfRule type="cellIs" dxfId="856" priority="2949" stopIfTrue="1" operator="equal">
      <formula>"A déterminer"</formula>
    </cfRule>
  </conditionalFormatting>
  <conditionalFormatting sqref="AC34">
    <cfRule type="cellIs" dxfId="855" priority="2011" stopIfTrue="1" operator="equal">
      <formula>"cf. Liste des applications"</formula>
    </cfRule>
    <cfRule type="cellIs" dxfId="854" priority="2012" stopIfTrue="1" operator="equal">
      <formula>"A déterminer"</formula>
    </cfRule>
  </conditionalFormatting>
  <conditionalFormatting sqref="AC36">
    <cfRule type="cellIs" dxfId="853" priority="1979" stopIfTrue="1" operator="equal">
      <formula>"cf. Liste des applications"</formula>
    </cfRule>
    <cfRule type="cellIs" dxfId="852" priority="1980" stopIfTrue="1" operator="equal">
      <formula>"A déterminer"</formula>
    </cfRule>
  </conditionalFormatting>
  <conditionalFormatting sqref="AC38">
    <cfRule type="cellIs" dxfId="851" priority="1909" stopIfTrue="1" operator="equal">
      <formula>"cf. Liste des applications"</formula>
    </cfRule>
    <cfRule type="cellIs" dxfId="850" priority="1910" stopIfTrue="1" operator="equal">
      <formula>"A déterminer"</formula>
    </cfRule>
  </conditionalFormatting>
  <conditionalFormatting sqref="AC43">
    <cfRule type="cellIs" dxfId="849" priority="1837" stopIfTrue="1" operator="equal">
      <formula>"A déterminer"</formula>
    </cfRule>
  </conditionalFormatting>
  <conditionalFormatting sqref="AC45">
    <cfRule type="cellIs" dxfId="848" priority="1785" stopIfTrue="1" operator="equal">
      <formula>"A déterminer"</formula>
    </cfRule>
  </conditionalFormatting>
  <conditionalFormatting sqref="AC47">
    <cfRule type="cellIs" dxfId="847" priority="1741" stopIfTrue="1" operator="equal">
      <formula>"A déterminer"</formula>
    </cfRule>
  </conditionalFormatting>
  <conditionalFormatting sqref="AC50">
    <cfRule type="cellIs" dxfId="846" priority="545" stopIfTrue="1" operator="equal">
      <formula>"A déterminer"</formula>
    </cfRule>
  </conditionalFormatting>
  <conditionalFormatting sqref="AC52:AC53">
    <cfRule type="cellIs" dxfId="845" priority="1690" stopIfTrue="1" operator="equal">
      <formula>"cf. Liste des applications"</formula>
    </cfRule>
    <cfRule type="cellIs" dxfId="844" priority="1691" stopIfTrue="1" operator="equal">
      <formula>"A déterminer"</formula>
    </cfRule>
  </conditionalFormatting>
  <conditionalFormatting sqref="AC57 AC59">
    <cfRule type="cellIs" dxfId="843" priority="1552" stopIfTrue="1" operator="equal">
      <formula>"A déterminer"</formula>
    </cfRule>
  </conditionalFormatting>
  <conditionalFormatting sqref="AC61">
    <cfRule type="cellIs" dxfId="842" priority="1482" stopIfTrue="1" operator="equal">
      <formula>"A déterminer"</formula>
    </cfRule>
  </conditionalFormatting>
  <conditionalFormatting sqref="AC63">
    <cfRule type="cellIs" dxfId="841" priority="1424" stopIfTrue="1" operator="equal">
      <formula>"A déterminer"</formula>
    </cfRule>
  </conditionalFormatting>
  <conditionalFormatting sqref="AC65">
    <cfRule type="cellIs" dxfId="840" priority="1352" stopIfTrue="1" operator="equal">
      <formula>"A déterminer"</formula>
    </cfRule>
  </conditionalFormatting>
  <conditionalFormatting sqref="AC68">
    <cfRule type="cellIs" dxfId="839" priority="1324" stopIfTrue="1" operator="equal">
      <formula>"A déterminer"</formula>
    </cfRule>
  </conditionalFormatting>
  <conditionalFormatting sqref="AC70:AC71">
    <cfRule type="cellIs" dxfId="838" priority="1251" stopIfTrue="1" operator="equal">
      <formula>"cf. Liste des applications"</formula>
    </cfRule>
    <cfRule type="cellIs" dxfId="837" priority="1252" stopIfTrue="1" operator="equal">
      <formula>"A déterminer"</formula>
    </cfRule>
  </conditionalFormatting>
  <conditionalFormatting sqref="AC73">
    <cfRule type="cellIs" dxfId="836" priority="1188" stopIfTrue="1" operator="equal">
      <formula>"A déterminer"</formula>
    </cfRule>
  </conditionalFormatting>
  <conditionalFormatting sqref="AC75">
    <cfRule type="cellIs" dxfId="835" priority="1098" stopIfTrue="1" operator="equal">
      <formula>"A déterminer"</formula>
    </cfRule>
  </conditionalFormatting>
  <conditionalFormatting sqref="AC80 AC82">
    <cfRule type="cellIs" dxfId="834" priority="970" stopIfTrue="1" operator="equal">
      <formula>"A déterminer"</formula>
    </cfRule>
  </conditionalFormatting>
  <conditionalFormatting sqref="AC11:AD11 AC13:AD13 AC17:AD17 AC19:AD19 AC21:AD21 AC23:AD23 AC25:AD25 AC27:AD27 AC29:AD29 AC31:AD31 AC33:AD33 AC35:AD35 AC37:AD37 AC39:AD39 AC41:AD41 AC43:AD43 AC45:AD45 AC47:AD47 AC51:AD51 AC53:AD53 AC55:AD55 AC57:AD57 AC59:AD59 AC61:AD61 AC63:AD63 AC65:AD65 AC67:AD67 AC69:AD69 AC71:AD71 AC73:AD73 AC75:AD75 AC77:AD77 AC79:AD79 AC81:AD81">
    <cfRule type="cellIs" dxfId="833" priority="296" stopIfTrue="1" operator="equal">
      <formula>"A déterminer"</formula>
    </cfRule>
  </conditionalFormatting>
  <conditionalFormatting sqref="AC11:AD11 AC13:AD13 AC17:AH19 AC19:AD27 AC36:AD38 AC48:AD48 AC50:AD52 AC60:AD60 AC64:AD64 AC66:AH71 AC73:AH73 AC74:AD76 AC80:AH80 AC46:AD46 AC58:AD58 AC72:AD72 AC82:AD82 W15:AD15 AC44:AD44 AC54:AD54 AC35:AH35 AC40:AH40 AC78:AH78 AC42:AD42 AC56:AD56 AC62:AD62">
    <cfRule type="cellIs" dxfId="832" priority="3397" stopIfTrue="1" operator="equal">
      <formula>"cf. Liste des applications"</formula>
    </cfRule>
  </conditionalFormatting>
  <conditionalFormatting sqref="AC12:AD16">
    <cfRule type="cellIs" dxfId="831" priority="3398" stopIfTrue="1" operator="equal">
      <formula>"A déterminer"</formula>
    </cfRule>
  </conditionalFormatting>
  <conditionalFormatting sqref="AC13:AD13">
    <cfRule type="cellIs" dxfId="830" priority="2834" stopIfTrue="1" operator="equal">
      <formula>"cf. Liste des applications"</formula>
    </cfRule>
  </conditionalFormatting>
  <conditionalFormatting sqref="AC17:AD19">
    <cfRule type="cellIs" dxfId="829" priority="2605" stopIfTrue="1" operator="equal">
      <formula>"A déterminer"</formula>
    </cfRule>
  </conditionalFormatting>
  <conditionalFormatting sqref="AC22:AD22">
    <cfRule type="cellIs" dxfId="828" priority="2824" stopIfTrue="1" operator="equal">
      <formula>"cf. Liste des applications"</formula>
    </cfRule>
  </conditionalFormatting>
  <conditionalFormatting sqref="AC25:AD27 N36:AD36 N73:AD75 AC13:AD13 AC21:AD23 AC19:AD19 AC50:AD52 AC38:AD38 AC48:AD48 AC60:AD60 AC64:AD64 AC68:AD68 AC70:AD70 AC80:AD80 AC11:AD11">
    <cfRule type="cellIs" dxfId="827" priority="3396" stopIfTrue="1" operator="equal">
      <formula>"A déterminer"</formula>
    </cfRule>
  </conditionalFormatting>
  <conditionalFormatting sqref="AC29:AD29">
    <cfRule type="cellIs" dxfId="826" priority="2799" stopIfTrue="1" operator="equal">
      <formula>"A déterminer"</formula>
    </cfRule>
  </conditionalFormatting>
  <conditionalFormatting sqref="AC34:AD35">
    <cfRule type="cellIs" dxfId="825" priority="2021" stopIfTrue="1" operator="equal">
      <formula>"A déterminer"</formula>
    </cfRule>
  </conditionalFormatting>
  <conditionalFormatting sqref="AC36:AD37">
    <cfRule type="cellIs" dxfId="824" priority="1989" stopIfTrue="1" operator="equal">
      <formula>"A déterminer"</formula>
    </cfRule>
    <cfRule type="cellIs" dxfId="823" priority="1990" stopIfTrue="1" operator="equal">
      <formula>"cf. Liste des applications"</formula>
    </cfRule>
  </conditionalFormatting>
  <conditionalFormatting sqref="AC44:AD44">
    <cfRule type="cellIs" dxfId="822" priority="1834" stopIfTrue="1" operator="equal">
      <formula>"cf. Liste des applications"</formula>
    </cfRule>
  </conditionalFormatting>
  <conditionalFormatting sqref="AC48:AD48">
    <cfRule type="cellIs" dxfId="821" priority="1738" stopIfTrue="1" operator="equal">
      <formula>"cf. Liste des applications"</formula>
    </cfRule>
  </conditionalFormatting>
  <conditionalFormatting sqref="AC51:AD54">
    <cfRule type="cellIs" dxfId="820" priority="2124" stopIfTrue="1" operator="equal">
      <formula>"A déterminer"</formula>
    </cfRule>
    <cfRule type="cellIs" dxfId="819" priority="2125" stopIfTrue="1" operator="equal">
      <formula>"cf. Liste des applications"</formula>
    </cfRule>
  </conditionalFormatting>
  <conditionalFormatting sqref="AC54:AD54">
    <cfRule type="cellIs" dxfId="818" priority="1686" stopIfTrue="1" operator="equal">
      <formula>"A déterminer"</formula>
    </cfRule>
    <cfRule type="cellIs" dxfId="817" priority="1687" stopIfTrue="1" operator="equal">
      <formula>"cf. Liste des applications"</formula>
    </cfRule>
  </conditionalFormatting>
  <conditionalFormatting sqref="AC62:AD64">
    <cfRule type="cellIs" dxfId="816" priority="1467" stopIfTrue="1" operator="equal">
      <formula>"A déterminer"</formula>
    </cfRule>
    <cfRule type="cellIs" dxfId="815" priority="1468" stopIfTrue="1" operator="equal">
      <formula>"cf. Liste des applications"</formula>
    </cfRule>
  </conditionalFormatting>
  <conditionalFormatting sqref="AC66:AD67">
    <cfRule type="cellIs" dxfId="814" priority="872" stopIfTrue="1" operator="equal">
      <formula>"A déterminer"</formula>
    </cfRule>
  </conditionalFormatting>
  <conditionalFormatting sqref="AC67:AD67">
    <cfRule type="cellIs" dxfId="813" priority="873" stopIfTrue="1" operator="equal">
      <formula>"cf. Liste des applications"</formula>
    </cfRule>
  </conditionalFormatting>
  <conditionalFormatting sqref="AC67:AD68 AC64:AE64">
    <cfRule type="cellIs" dxfId="812" priority="1390" stopIfTrue="1" operator="equal">
      <formula>"cf. Liste des applications"</formula>
    </cfRule>
  </conditionalFormatting>
  <conditionalFormatting sqref="AC72:AD73">
    <cfRule type="cellIs" dxfId="811" priority="1197" stopIfTrue="1" operator="equal">
      <formula>"A déterminer"</formula>
    </cfRule>
  </conditionalFormatting>
  <conditionalFormatting sqref="AC74:AD78">
    <cfRule type="cellIs" dxfId="810" priority="1125" stopIfTrue="1" operator="equal">
      <formula>"A déterminer"</formula>
    </cfRule>
  </conditionalFormatting>
  <conditionalFormatting sqref="AC75:AD75">
    <cfRule type="cellIs" dxfId="809" priority="1126" stopIfTrue="1" operator="equal">
      <formula>"cf. Liste des applications"</formula>
    </cfRule>
  </conditionalFormatting>
  <conditionalFormatting sqref="AC77:AD77">
    <cfRule type="cellIs" dxfId="808" priority="502" stopIfTrue="1" operator="equal">
      <formula>"A déterminer"</formula>
    </cfRule>
  </conditionalFormatting>
  <conditionalFormatting sqref="AC77:AD78">
    <cfRule type="cellIs" dxfId="807" priority="514" stopIfTrue="1" operator="equal">
      <formula>"cf. Liste des applications"</formula>
    </cfRule>
  </conditionalFormatting>
  <conditionalFormatting sqref="AC78:AD78">
    <cfRule type="cellIs" dxfId="806" priority="1030" stopIfTrue="1" operator="equal">
      <formula>"A déterminer"</formula>
    </cfRule>
    <cfRule type="cellIs" dxfId="805" priority="1058" stopIfTrue="1" operator="equal">
      <formula>"cf. Liste des applications"</formula>
    </cfRule>
  </conditionalFormatting>
  <conditionalFormatting sqref="AC80:AD80 AC82:AD82">
    <cfRule type="cellIs" dxfId="804" priority="998" stopIfTrue="1" operator="equal">
      <formula>"cf. Liste des applications"</formula>
    </cfRule>
  </conditionalFormatting>
  <conditionalFormatting sqref="AC80:AD82">
    <cfRule type="cellIs" dxfId="803" priority="997" stopIfTrue="1" operator="equal">
      <formula>"A déterminer"</formula>
    </cfRule>
  </conditionalFormatting>
  <conditionalFormatting sqref="AC83:AD83">
    <cfRule type="cellIs" dxfId="802" priority="173" stopIfTrue="1" operator="equal">
      <formula>"A déterminer"</formula>
    </cfRule>
  </conditionalFormatting>
  <conditionalFormatting sqref="AC83:AD85">
    <cfRule type="cellIs" dxfId="801" priority="209" stopIfTrue="1" operator="equal">
      <formula>"A déterminer"</formula>
    </cfRule>
  </conditionalFormatting>
  <conditionalFormatting sqref="AC85:AD87">
    <cfRule type="cellIs" dxfId="800" priority="31" stopIfTrue="1" operator="equal">
      <formula>"A déterminer"</formula>
    </cfRule>
  </conditionalFormatting>
  <conditionalFormatting sqref="AC86:AD86">
    <cfRule type="cellIs" dxfId="799" priority="74" stopIfTrue="1" operator="equal">
      <formula>"cf. Liste des applications"</formula>
    </cfRule>
  </conditionalFormatting>
  <conditionalFormatting sqref="AC87:AD87">
    <cfRule type="cellIs" dxfId="798" priority="5" stopIfTrue="1" operator="equal">
      <formula>"A déterminer"</formula>
    </cfRule>
  </conditionalFormatting>
  <conditionalFormatting sqref="AC50:AE50">
    <cfRule type="cellIs" dxfId="797" priority="546" stopIfTrue="1" operator="equal">
      <formula>"cf. Liste des applications"</formula>
    </cfRule>
    <cfRule type="cellIs" dxfId="796" priority="547" stopIfTrue="1" operator="equal">
      <formula>"A déterminer"</formula>
    </cfRule>
    <cfRule type="cellIs" dxfId="795" priority="551" stopIfTrue="1" operator="equal">
      <formula>"A déterminer"</formula>
    </cfRule>
    <cfRule type="cellIs" dxfId="794" priority="553" stopIfTrue="1" operator="equal">
      <formula>"cf. Liste des applications"</formula>
    </cfRule>
  </conditionalFormatting>
  <conditionalFormatting sqref="AC56:AE56 AC58:AE58">
    <cfRule type="cellIs" dxfId="793" priority="1590" stopIfTrue="1" operator="equal">
      <formula>"cf. Liste des applications"</formula>
    </cfRule>
  </conditionalFormatting>
  <conditionalFormatting sqref="AC60:AE60">
    <cfRule type="cellIs" dxfId="792" priority="1520" stopIfTrue="1" operator="equal">
      <formula>"cf. Liste des applications"</formula>
    </cfRule>
  </conditionalFormatting>
  <conditionalFormatting sqref="AC66:AE66">
    <cfRule type="cellIs" dxfId="791" priority="832" stopIfTrue="1" operator="equal">
      <formula>"cf. Liste des applications"</formula>
    </cfRule>
  </conditionalFormatting>
  <conditionalFormatting sqref="AC67:AE67">
    <cfRule type="cellIs" dxfId="790" priority="874" stopIfTrue="1" operator="equal">
      <formula>"A déterminer"</formula>
    </cfRule>
    <cfRule type="cellIs" dxfId="789" priority="875" stopIfTrue="1" operator="equal">
      <formula>"cf. Liste des applications"</formula>
    </cfRule>
  </conditionalFormatting>
  <conditionalFormatting sqref="AC69:AE69">
    <cfRule type="cellIs" dxfId="788" priority="1290" stopIfTrue="1" operator="equal">
      <formula>"cf. Liste des applications"</formula>
    </cfRule>
  </conditionalFormatting>
  <conditionalFormatting sqref="AC79:AE79">
    <cfRule type="cellIs" dxfId="787" priority="1064" stopIfTrue="1" operator="equal">
      <formula>"cf. Liste des applications"</formula>
    </cfRule>
  </conditionalFormatting>
  <conditionalFormatting sqref="AC10:AH10">
    <cfRule type="cellIs" dxfId="786" priority="87" stopIfTrue="1" operator="equal">
      <formula>"cf. Liste des applications"</formula>
    </cfRule>
    <cfRule type="cellIs" dxfId="785" priority="93" stopIfTrue="1" operator="equal">
      <formula>"A déterminer"</formula>
    </cfRule>
  </conditionalFormatting>
  <conditionalFormatting sqref="AC11:AH85 I51:J51 Y51:AM51 I54:J54 Y54:AM54 I62:J62 I72:J72 AP72 AR72 AT72 AV72 AX72 AZ72 BB72 BD72 BF72 BH72:BI72 BK72 I74:J74 AP74 AR74 AT74 AV74 AX74 AZ74 BB74 BD74 BF74 BH74:BI74 BK74 I76:J76 Y76:AM76 AP76 AR76 AT76 AV76 AX76 AZ76 BB76 BD76 BF76 BH76:BI76 BK76 I81:J81 AP81 AR81 AT81 AV81 AX81 AZ81 BB81 BD81 BF81 BH81:BI81 BK81 Y62:AM62 Y72:AM72 Y74:AM74 Y81:AM81 Y86:AM86 AC87:AH87 I86:J86 AE7:AH7 AC8:AH9">
    <cfRule type="cellIs" dxfId="784" priority="4101" stopIfTrue="1" operator="equal">
      <formula>"A déterminer"</formula>
    </cfRule>
  </conditionalFormatting>
  <conditionalFormatting sqref="AC12:AH12">
    <cfRule type="cellIs" dxfId="783" priority="3399" stopIfTrue="1" operator="equal">
      <formula>"cf. Liste des applications"</formula>
    </cfRule>
  </conditionalFormatting>
  <conditionalFormatting sqref="AC17:AH17">
    <cfRule type="cellIs" dxfId="782" priority="2617" stopIfTrue="1" operator="equal">
      <formula>"A déterminer"</formula>
    </cfRule>
  </conditionalFormatting>
  <conditionalFormatting sqref="AC17:AH19">
    <cfRule type="cellIs" dxfId="781" priority="2607" stopIfTrue="1" operator="equal">
      <formula>"cf. Liste des applications"</formula>
    </cfRule>
  </conditionalFormatting>
  <conditionalFormatting sqref="AC29:AH39 BH30:BI38 N29:AB34 AB30:AM30 AP30:AP38 AR30:AR38 AT30:AT38 AV30:AV38 AX30:AX38 AZ30:AZ38 BB30:BB38 BD30:BD38 BF30:BF38 BK30:BK38">
    <cfRule type="cellIs" dxfId="780" priority="866" stopIfTrue="1" operator="equal">
      <formula>"A déterminer"</formula>
    </cfRule>
  </conditionalFormatting>
  <conditionalFormatting sqref="AC34:AH34">
    <cfRule type="cellIs" dxfId="779" priority="2041" stopIfTrue="1" operator="equal">
      <formula>"cf. Liste des applications"</formula>
    </cfRule>
  </conditionalFormatting>
  <conditionalFormatting sqref="AC36:AH36">
    <cfRule type="cellIs" dxfId="778" priority="2009" stopIfTrue="1" operator="equal">
      <formula>"cf. Liste des applications"</formula>
    </cfRule>
  </conditionalFormatting>
  <conditionalFormatting sqref="AC38:AH38">
    <cfRule type="cellIs" dxfId="777" priority="1939" stopIfTrue="1" operator="equal">
      <formula>"cf. Liste des applications"</formula>
    </cfRule>
  </conditionalFormatting>
  <conditionalFormatting sqref="AC39:AH39">
    <cfRule type="cellIs" dxfId="776" priority="631" stopIfTrue="1" operator="equal">
      <formula>"cf. Liste des applications"</formula>
    </cfRule>
  </conditionalFormatting>
  <conditionalFormatting sqref="AC43:AH43">
    <cfRule type="cellIs" dxfId="775" priority="1866" stopIfTrue="1" operator="equal">
      <formula>"cf. Liste des applications"</formula>
    </cfRule>
  </conditionalFormatting>
  <conditionalFormatting sqref="AC45:AH45">
    <cfRule type="cellIs" dxfId="774" priority="1814" stopIfTrue="1" operator="equal">
      <formula>"cf. Liste des applications"</formula>
    </cfRule>
  </conditionalFormatting>
  <conditionalFormatting sqref="AC46:AH46">
    <cfRule type="cellIs" dxfId="773" priority="1779" stopIfTrue="1" operator="equal">
      <formula>"cf. Liste des applications"</formula>
    </cfRule>
  </conditionalFormatting>
  <conditionalFormatting sqref="AC47:AH47">
    <cfRule type="cellIs" dxfId="772" priority="1770" stopIfTrue="1" operator="equal">
      <formula>"cf. Liste des applications"</formula>
    </cfRule>
  </conditionalFormatting>
  <conditionalFormatting sqref="AC57:AH57 AC59:AH60">
    <cfRule type="cellIs" dxfId="771" priority="1581" stopIfTrue="1" operator="equal">
      <formula>"cf. Liste des applications"</formula>
    </cfRule>
  </conditionalFormatting>
  <conditionalFormatting sqref="AC61:AH61">
    <cfRule type="cellIs" dxfId="770" priority="1511" stopIfTrue="1" operator="equal">
      <formula>"cf. Liste des applications"</formula>
    </cfRule>
  </conditionalFormatting>
  <conditionalFormatting sqref="AC65:AH65">
    <cfRule type="cellIs" dxfId="769" priority="1381" stopIfTrue="1" operator="equal">
      <formula>"cf. Liste des applications"</formula>
    </cfRule>
  </conditionalFormatting>
  <conditionalFormatting sqref="AC66:AH66">
    <cfRule type="cellIs" dxfId="768" priority="871" stopIfTrue="1" operator="equal">
      <formula>"A déterminer"</formula>
    </cfRule>
  </conditionalFormatting>
  <conditionalFormatting sqref="AC70:AH70">
    <cfRule type="cellIs" dxfId="767" priority="525" stopIfTrue="1" operator="equal">
      <formula>"cf. Liste des applications"</formula>
    </cfRule>
    <cfRule type="cellIs" dxfId="766" priority="526" stopIfTrue="1" operator="equal">
      <formula>"A déterminer"</formula>
    </cfRule>
  </conditionalFormatting>
  <conditionalFormatting sqref="AC71:AH71">
    <cfRule type="cellIs" dxfId="765" priority="1281" stopIfTrue="1" operator="equal">
      <formula>"cf. Liste des applications"</formula>
    </cfRule>
  </conditionalFormatting>
  <conditionalFormatting sqref="AC73:AH73">
    <cfRule type="cellIs" dxfId="764" priority="1217" stopIfTrue="1" operator="equal">
      <formula>"cf. Liste des applications"</formula>
    </cfRule>
    <cfRule type="cellIs" dxfId="763" priority="1218" stopIfTrue="1" operator="equal">
      <formula>"A déterminer"</formula>
    </cfRule>
  </conditionalFormatting>
  <conditionalFormatting sqref="AC77:AH77">
    <cfRule type="cellIs" dxfId="762" priority="517" stopIfTrue="1" operator="equal">
      <formula>"cf. Liste des applications"</formula>
    </cfRule>
  </conditionalFormatting>
  <conditionalFormatting sqref="AD54">
    <cfRule type="cellIs" dxfId="761" priority="907" stopIfTrue="1" operator="equal">
      <formula>"A déterminer"</formula>
    </cfRule>
    <cfRule type="cellIs" dxfId="760" priority="908" stopIfTrue="1" operator="equal">
      <formula>"cf. Liste des applications"</formula>
    </cfRule>
  </conditionalFormatting>
  <conditionalFormatting sqref="AD50:AE50">
    <cfRule type="cellIs" dxfId="759" priority="550" stopIfTrue="1" operator="equal">
      <formula>"cf. Liste des applications"</formula>
    </cfRule>
  </conditionalFormatting>
  <conditionalFormatting sqref="AD34:AH34">
    <cfRule type="cellIs" dxfId="758" priority="2028" stopIfTrue="1" operator="equal">
      <formula>"A déterminer"</formula>
    </cfRule>
  </conditionalFormatting>
  <conditionalFormatting sqref="AD36:AH36">
    <cfRule type="cellIs" dxfId="757" priority="1995" stopIfTrue="1" operator="equal">
      <formula>"cf. Liste des applications"</formula>
    </cfRule>
    <cfRule type="cellIs" dxfId="756" priority="1996" stopIfTrue="1" operator="equal">
      <formula>"A déterminer"</formula>
    </cfRule>
  </conditionalFormatting>
  <conditionalFormatting sqref="AD73:AH73">
    <cfRule type="cellIs" dxfId="755" priority="1204" stopIfTrue="1" operator="equal">
      <formula>"A déterminer"</formula>
    </cfRule>
  </conditionalFormatting>
  <conditionalFormatting sqref="AD31:AM31">
    <cfRule type="cellIs" dxfId="754" priority="3217" stopIfTrue="1" operator="equal">
      <formula>"cf. Liste des applications"</formula>
    </cfRule>
    <cfRule type="cellIs" dxfId="753" priority="3218" stopIfTrue="1" operator="equal">
      <formula>"A déterminer"</formula>
    </cfRule>
  </conditionalFormatting>
  <conditionalFormatting sqref="AD38:AM38">
    <cfRule type="cellIs" dxfId="752" priority="1918" stopIfTrue="1" operator="equal">
      <formula>"A déterminer"</formula>
    </cfRule>
  </conditionalFormatting>
  <conditionalFormatting sqref="AD41:AM41">
    <cfRule type="cellIs" dxfId="751" priority="1889" stopIfTrue="1" operator="equal">
      <formula>"cf. Liste des applications"</formula>
    </cfRule>
  </conditionalFormatting>
  <conditionalFormatting sqref="AD43:AM43">
    <cfRule type="cellIs" dxfId="750" priority="1845" stopIfTrue="1" operator="equal">
      <formula>"A déterminer"</formula>
    </cfRule>
  </conditionalFormatting>
  <conditionalFormatting sqref="AD45:AM45">
    <cfRule type="cellIs" dxfId="749" priority="1793" stopIfTrue="1" operator="equal">
      <formula>"A déterminer"</formula>
    </cfRule>
  </conditionalFormatting>
  <conditionalFormatting sqref="AD47:AM47">
    <cfRule type="cellIs" dxfId="748" priority="1749" stopIfTrue="1" operator="equal">
      <formula>"A déterminer"</formula>
    </cfRule>
  </conditionalFormatting>
  <conditionalFormatting sqref="AD53:AM53">
    <cfRule type="cellIs" dxfId="747" priority="1698" stopIfTrue="1" operator="equal">
      <formula>"cf. Liste des applications"</formula>
    </cfRule>
    <cfRule type="cellIs" dxfId="746" priority="1699" stopIfTrue="1" operator="equal">
      <formula>"A déterminer"</formula>
    </cfRule>
  </conditionalFormatting>
  <conditionalFormatting sqref="AD57:AM57 AD59:AM59">
    <cfRule type="cellIs" dxfId="745" priority="1560" stopIfTrue="1" operator="equal">
      <formula>"A déterminer"</formula>
    </cfRule>
  </conditionalFormatting>
  <conditionalFormatting sqref="AD61:AM61">
    <cfRule type="cellIs" dxfId="744" priority="1490" stopIfTrue="1" operator="equal">
      <formula>"A déterminer"</formula>
    </cfRule>
  </conditionalFormatting>
  <conditionalFormatting sqref="AD63:AM63">
    <cfRule type="cellIs" dxfId="743" priority="1431" stopIfTrue="1" operator="equal">
      <formula>"cf. Liste des applications"</formula>
    </cfRule>
    <cfRule type="cellIs" dxfId="742" priority="1432" stopIfTrue="1" operator="equal">
      <formula>"A déterminer"</formula>
    </cfRule>
  </conditionalFormatting>
  <conditionalFormatting sqref="AD65:AM65">
    <cfRule type="cellIs" dxfId="741" priority="1360" stopIfTrue="1" operator="equal">
      <formula>"A déterminer"</formula>
    </cfRule>
  </conditionalFormatting>
  <conditionalFormatting sqref="AD68:AM68">
    <cfRule type="cellIs" dxfId="740" priority="1331" stopIfTrue="1" operator="equal">
      <formula>"cf. Liste des applications"</formula>
    </cfRule>
    <cfRule type="cellIs" dxfId="739" priority="1332" stopIfTrue="1" operator="equal">
      <formula>"A déterminer"</formula>
    </cfRule>
  </conditionalFormatting>
  <conditionalFormatting sqref="AD70:AM70">
    <cfRule type="cellIs" dxfId="738" priority="521" stopIfTrue="1" operator="equal">
      <formula>"A déterminer"</formula>
    </cfRule>
  </conditionalFormatting>
  <conditionalFormatting sqref="AD71:AM71">
    <cfRule type="cellIs" dxfId="737" priority="1260" stopIfTrue="1" operator="equal">
      <formula>"A déterminer"</formula>
    </cfRule>
  </conditionalFormatting>
  <conditionalFormatting sqref="AD75:AM75">
    <cfRule type="cellIs" dxfId="736" priority="1105" stopIfTrue="1" operator="equal">
      <formula>"cf. Liste des applications"</formula>
    </cfRule>
    <cfRule type="cellIs" dxfId="735" priority="1106" stopIfTrue="1" operator="equal">
      <formula>"A déterminer"</formula>
    </cfRule>
  </conditionalFormatting>
  <conditionalFormatting sqref="AD77:AM77">
    <cfRule type="cellIs" dxfId="734" priority="505" stopIfTrue="1" operator="equal">
      <formula>"cf. Liste des applications"</formula>
    </cfRule>
  </conditionalFormatting>
  <conditionalFormatting sqref="AD78:AM78">
    <cfRule type="cellIs" dxfId="733" priority="1037" stopIfTrue="1" operator="equal">
      <formula>"cf. Liste des applications"</formula>
    </cfRule>
    <cfRule type="cellIs" dxfId="732" priority="1038" stopIfTrue="1" operator="equal">
      <formula>"A déterminer"</formula>
    </cfRule>
  </conditionalFormatting>
  <conditionalFormatting sqref="AD80:AM80 AD82:AM82">
    <cfRule type="cellIs" dxfId="731" priority="977" stopIfTrue="1" operator="equal">
      <formula>"cf. Liste des applications"</formula>
    </cfRule>
    <cfRule type="cellIs" dxfId="730" priority="978" stopIfTrue="1" operator="equal">
      <formula>"A déterminer"</formula>
    </cfRule>
  </conditionalFormatting>
  <conditionalFormatting sqref="AE20:AE23">
    <cfRule type="cellIs" dxfId="729" priority="2602" stopIfTrue="1" operator="equal">
      <formula>"cf. Liste des applications"</formula>
    </cfRule>
    <cfRule type="cellIs" dxfId="728" priority="2603" stopIfTrue="1" operator="equal">
      <formula>"A déterminer"</formula>
    </cfRule>
  </conditionalFormatting>
  <conditionalFormatting sqref="AE33">
    <cfRule type="cellIs" dxfId="727" priority="592" stopIfTrue="1" operator="equal">
      <formula>"A déterminer"</formula>
    </cfRule>
    <cfRule type="cellIs" dxfId="726" priority="593" stopIfTrue="1" operator="equal">
      <formula>"cf. Liste des applications"</formula>
    </cfRule>
  </conditionalFormatting>
  <conditionalFormatting sqref="AE56 AE58">
    <cfRule type="cellIs" dxfId="725" priority="1600" stopIfTrue="1" operator="equal">
      <formula>"A déterminer"</formula>
    </cfRule>
  </conditionalFormatting>
  <conditionalFormatting sqref="AE60">
    <cfRule type="cellIs" dxfId="724" priority="1530" stopIfTrue="1" operator="equal">
      <formula>"A déterminer"</formula>
    </cfRule>
  </conditionalFormatting>
  <conditionalFormatting sqref="AE66">
    <cfRule type="cellIs" dxfId="723" priority="840" stopIfTrue="1" operator="equal">
      <formula>"A déterminer"</formula>
    </cfRule>
  </conditionalFormatting>
  <conditionalFormatting sqref="AE67 AE64">
    <cfRule type="cellIs" dxfId="722" priority="1400" stopIfTrue="1" operator="equal">
      <formula>"A déterminer"</formula>
    </cfRule>
  </conditionalFormatting>
  <conditionalFormatting sqref="AE67">
    <cfRule type="cellIs" dxfId="721" priority="1399" stopIfTrue="1" operator="equal">
      <formula>"cf. Liste des applications"</formula>
    </cfRule>
  </conditionalFormatting>
  <conditionalFormatting sqref="AE69">
    <cfRule type="cellIs" dxfId="720" priority="1300" stopIfTrue="1" operator="equal">
      <formula>"A déterminer"</formula>
    </cfRule>
  </conditionalFormatting>
  <conditionalFormatting sqref="AE79">
    <cfRule type="cellIs" dxfId="719" priority="1074" stopIfTrue="1" operator="equal">
      <formula>"A déterminer"</formula>
    </cfRule>
  </conditionalFormatting>
  <conditionalFormatting sqref="AE18:AH19">
    <cfRule type="cellIs" dxfId="718" priority="649" stopIfTrue="1" operator="equal">
      <formula>"A déterminer"</formula>
    </cfRule>
  </conditionalFormatting>
  <conditionalFormatting sqref="AF58">
    <cfRule type="cellIs" dxfId="717" priority="790" stopIfTrue="1" operator="equal">
      <formula>"A déterminer"</formula>
    </cfRule>
    <cfRule type="cellIs" dxfId="716" priority="792" stopIfTrue="1" operator="equal">
      <formula>"cf. Liste des applications"</formula>
    </cfRule>
  </conditionalFormatting>
  <conditionalFormatting sqref="AF60">
    <cfRule type="cellIs" dxfId="715" priority="281" stopIfTrue="1" operator="equal">
      <formula>"cf. Liste des applications"</formula>
    </cfRule>
    <cfRule type="cellIs" dxfId="714" priority="282" stopIfTrue="1" operator="equal">
      <formula>"A déterminer"</formula>
    </cfRule>
    <cfRule type="cellIs" dxfId="713" priority="283" stopIfTrue="1" operator="equal">
      <formula>"cf. Liste des applications"</formula>
    </cfRule>
  </conditionalFormatting>
  <conditionalFormatting sqref="AF64">
    <cfRule type="cellIs" dxfId="712" priority="763" stopIfTrue="1" operator="equal">
      <formula>"A déterminer"</formula>
    </cfRule>
    <cfRule type="cellIs" dxfId="711" priority="765" stopIfTrue="1" operator="equal">
      <formula>"cf. Liste des applications"</formula>
    </cfRule>
  </conditionalFormatting>
  <conditionalFormatting sqref="AF69">
    <cfRule type="cellIs" dxfId="710" priority="744" stopIfTrue="1" operator="equal">
      <formula>"A déterminer"</formula>
    </cfRule>
    <cfRule type="cellIs" dxfId="709" priority="746" stopIfTrue="1" operator="equal">
      <formula>"cf. Liste des applications"</formula>
    </cfRule>
  </conditionalFormatting>
  <conditionalFormatting sqref="AF7:AH7 AF9:AH9 AF11:AH87">
    <cfRule type="cellIs" dxfId="708" priority="292" stopIfTrue="1" operator="equal">
      <formula>"cf. Liste des applications"</formula>
    </cfRule>
    <cfRule type="cellIs" dxfId="707" priority="293" stopIfTrue="1" operator="equal">
      <formula>"A déterminer"</formula>
    </cfRule>
  </conditionalFormatting>
  <conditionalFormatting sqref="AF7:AH7 AF11:AH86 AF9:AH9">
    <cfRule type="cellIs" dxfId="706" priority="291" stopIfTrue="1" operator="equal">
      <formula>"A déterminer"</formula>
    </cfRule>
  </conditionalFormatting>
  <conditionalFormatting sqref="AF9:AH9">
    <cfRule type="cellIs" dxfId="705" priority="97" stopIfTrue="1" operator="equal">
      <formula>"cf. Liste des applications"</formula>
    </cfRule>
    <cfRule type="cellIs" dxfId="704" priority="98" stopIfTrue="1" operator="equal">
      <formula>"A déterminer"</formula>
    </cfRule>
    <cfRule type="cellIs" dxfId="703" priority="99" stopIfTrue="1" operator="equal">
      <formula>"cf. Liste des applications"</formula>
    </cfRule>
    <cfRule type="cellIs" dxfId="702" priority="100" stopIfTrue="1" operator="equal">
      <formula>"A déterminer"</formula>
    </cfRule>
  </conditionalFormatting>
  <conditionalFormatting sqref="AF11:AH11 AF13:AH13 AF15:AH15 AF17:AH17 AF19:AH21 AE22:AH22 AF23:AH27 AF29:AH30 AF32:AH38 AF40:AH40 AF42:AH42 AF44:AH44 AE46:AH46 AF48:AH48 AF50:AH52 AF54:AH54 AF56:AH56 AF58:AH58 AF60:AH60 AF62:AH62 AF64:AH64 AF66:AH66 AF68:AH68 AF70:AH76 AF78:AH78 AF80:AH80 AF82:AH82">
    <cfRule type="cellIs" dxfId="701" priority="2468" stopIfTrue="1" operator="equal">
      <formula>"A déterminer"</formula>
    </cfRule>
  </conditionalFormatting>
  <conditionalFormatting sqref="AF11:AH11 AF13:AH13 AF15:AH15 AF17:AH17 AF19:AH21 AF23:AH27 AF29:AH30 AF32:AH38 AF40:AH40 AF42:AH42 AF44:AH44 AF46:AH46 AF48:AH48 AF50:AH52 AF54:AH54 AF56:AH56 AF58:AH58 AF60:AH60 AF62:AH62 AF64:AH64 AF66:AH66 AF68:AH68 AF70:AH76 AF78:AH78 AF80:AH80 AF82:AH82 AE22:AH22">
    <cfRule type="cellIs" dxfId="700" priority="2467" stopIfTrue="1" operator="equal">
      <formula>"cf. Liste des applications"</formula>
    </cfRule>
  </conditionalFormatting>
  <conditionalFormatting sqref="AF11:AH73">
    <cfRule type="cellIs" dxfId="699" priority="288" stopIfTrue="1" operator="equal">
      <formula>"cf. Liste des applications"</formula>
    </cfRule>
  </conditionalFormatting>
  <conditionalFormatting sqref="AF13:AH13 AF15:AH15 AF21:AH21 AF25:AH27 AF29:AH30 AF32:AH38 AF40:AH40 AF42:AH42 AF44:AH44 AF48:AH48 AF50:AH52 AF54:AH54 AF56:AH56 AF58:AH58 AF62:AH62 AF64:AH64 AF66:AH66 AF68:AH68 AF70:AH72 AF78:AH78 AF80:AH80 AF82:AH82 AF46:AH46 AF60:AH60 AF74:AH74 AF76:AH76 AF11:AH11 AF17:AH17">
    <cfRule type="cellIs" dxfId="698" priority="2466" stopIfTrue="1" operator="equal">
      <formula>"A déterminer"</formula>
    </cfRule>
  </conditionalFormatting>
  <conditionalFormatting sqref="AF13:AH13 AF15:AH15 AF21:AH21 AF25:AH27 AF50:AH52 AF32:AH38 AF40:AH40 AF42:AH42 AF44:AH44 AF48:AH48 AF54:AH54 AF56:AH56 AF58:AH58 AF62:AH62 AF64:AH64 AF68:AH68 AF70:AH72 AF78:AH78 AF80:AH80 AF82:AH82 AF66:AH66 AF29:AH30">
    <cfRule type="cellIs" dxfId="697" priority="2465" stopIfTrue="1" operator="equal">
      <formula>"cf. Liste des applications"</formula>
    </cfRule>
  </conditionalFormatting>
  <conditionalFormatting sqref="AF13:AH15">
    <cfRule type="cellIs" dxfId="696" priority="2463" stopIfTrue="1" operator="equal">
      <formula>"cf. Liste des applications"</formula>
    </cfRule>
    <cfRule type="cellIs" dxfId="695" priority="2464" stopIfTrue="1" operator="equal">
      <formula>"A déterminer"</formula>
    </cfRule>
  </conditionalFormatting>
  <conditionalFormatting sqref="AF17:AH17">
    <cfRule type="cellIs" dxfId="694" priority="2471" stopIfTrue="1" operator="equal">
      <formula>"cf. Liste des applications"</formula>
    </cfRule>
    <cfRule type="cellIs" dxfId="693" priority="2472" stopIfTrue="1" operator="equal">
      <formula>"A déterminer"</formula>
    </cfRule>
  </conditionalFormatting>
  <conditionalFormatting sqref="AF19:AH26">
    <cfRule type="cellIs" dxfId="692" priority="2455" stopIfTrue="1" operator="equal">
      <formula>"cf. Liste des applications"</formula>
    </cfRule>
    <cfRule type="cellIs" dxfId="691" priority="2456" stopIfTrue="1" operator="equal">
      <formula>"A déterminer"</formula>
    </cfRule>
  </conditionalFormatting>
  <conditionalFormatting sqref="AF20:AH20">
    <cfRule type="cellIs" dxfId="690" priority="2475" stopIfTrue="1" operator="equal">
      <formula>"cf. Liste des applications"</formula>
    </cfRule>
    <cfRule type="cellIs" dxfId="689" priority="2476" stopIfTrue="1" operator="equal">
      <formula>"A déterminer"</formula>
    </cfRule>
  </conditionalFormatting>
  <conditionalFormatting sqref="AF22:AH23">
    <cfRule type="cellIs" dxfId="688" priority="491" stopIfTrue="1" operator="equal">
      <formula>"cf. Liste des applications"</formula>
    </cfRule>
    <cfRule type="cellIs" dxfId="687" priority="492" stopIfTrue="1" operator="equal">
      <formula>"A déterminer"</formula>
    </cfRule>
  </conditionalFormatting>
  <conditionalFormatting sqref="AF23:AH23">
    <cfRule type="cellIs" dxfId="686" priority="490" stopIfTrue="1" operator="equal">
      <formula>"A déterminer"</formula>
    </cfRule>
  </conditionalFormatting>
  <conditionalFormatting sqref="AF26:AH28">
    <cfRule type="cellIs" dxfId="685" priority="2479" stopIfTrue="1" operator="equal">
      <formula>"cf. Liste des applications"</formula>
    </cfRule>
    <cfRule type="cellIs" dxfId="684" priority="2480" stopIfTrue="1" operator="equal">
      <formula>"A déterminer"</formula>
    </cfRule>
  </conditionalFormatting>
  <conditionalFormatting sqref="AF38:AH38">
    <cfRule type="cellIs" dxfId="683" priority="482" stopIfTrue="1" operator="equal">
      <formula>"A déterminer"</formula>
    </cfRule>
    <cfRule type="cellIs" dxfId="682" priority="483" stopIfTrue="1" operator="equal">
      <formula>"cf. Liste des applications"</formula>
    </cfRule>
    <cfRule type="cellIs" dxfId="681" priority="484" stopIfTrue="1" operator="equal">
      <formula>"A déterminer"</formula>
    </cfRule>
    <cfRule type="cellIs" dxfId="680" priority="485" stopIfTrue="1" operator="equal">
      <formula>"cf. Liste des applications"</formula>
    </cfRule>
    <cfRule type="cellIs" dxfId="679" priority="486" stopIfTrue="1" operator="equal">
      <formula>"A déterminer"</formula>
    </cfRule>
  </conditionalFormatting>
  <conditionalFormatting sqref="AF39:AH39">
    <cfRule type="cellIs" dxfId="678" priority="627" stopIfTrue="1" operator="equal">
      <formula>"cf. Liste des applications"</formula>
    </cfRule>
    <cfRule type="cellIs" dxfId="677" priority="628" stopIfTrue="1" operator="equal">
      <formula>"A déterminer"</formula>
    </cfRule>
    <cfRule type="cellIs" dxfId="676" priority="629" stopIfTrue="1" operator="equal">
      <formula>"cf. Liste des applications"</formula>
    </cfRule>
    <cfRule type="cellIs" dxfId="675" priority="630" stopIfTrue="1" operator="equal">
      <formula>"A déterminer"</formula>
    </cfRule>
  </conditionalFormatting>
  <conditionalFormatting sqref="AF45:AH45">
    <cfRule type="cellIs" dxfId="674" priority="459" stopIfTrue="1" operator="equal">
      <formula>"A déterminer"</formula>
    </cfRule>
    <cfRule type="cellIs" dxfId="673" priority="460" stopIfTrue="1" operator="equal">
      <formula>"cf. Liste des applications"</formula>
    </cfRule>
    <cfRule type="cellIs" dxfId="672" priority="461" stopIfTrue="1" operator="equal">
      <formula>"A déterminer"</formula>
    </cfRule>
    <cfRule type="cellIs" dxfId="671" priority="462" stopIfTrue="1" operator="equal">
      <formula>"cf. Liste des applications"</formula>
    </cfRule>
    <cfRule type="cellIs" dxfId="670" priority="463" stopIfTrue="1" operator="equal">
      <formula>"A déterminer"</formula>
    </cfRule>
    <cfRule type="cellIs" dxfId="669" priority="464" stopIfTrue="1" operator="equal">
      <formula>"cf. Liste des applications"</formula>
    </cfRule>
    <cfRule type="cellIs" dxfId="668" priority="465" stopIfTrue="1" operator="equal">
      <formula>"A déterminer"</formula>
    </cfRule>
    <cfRule type="cellIs" dxfId="667" priority="466" stopIfTrue="1" operator="equal">
      <formula>"cf. Liste des applications"</formula>
    </cfRule>
    <cfRule type="cellIs" dxfId="666" priority="469" stopIfTrue="1" operator="equal">
      <formula>"A déterminer"</formula>
    </cfRule>
    <cfRule type="cellIs" dxfId="665" priority="470" stopIfTrue="1" operator="equal">
      <formula>"cf. Liste des applications"</formula>
    </cfRule>
    <cfRule type="cellIs" dxfId="664" priority="471" stopIfTrue="1" operator="equal">
      <formula>"A déterminer"</formula>
    </cfRule>
    <cfRule type="cellIs" dxfId="663" priority="472" stopIfTrue="1" operator="equal">
      <formula>"cf. Liste des applications"</formula>
    </cfRule>
    <cfRule type="cellIs" dxfId="662" priority="473" stopIfTrue="1" operator="equal">
      <formula>"A déterminer"</formula>
    </cfRule>
    <cfRule type="cellIs" dxfId="661" priority="474" stopIfTrue="1" operator="equal">
      <formula>"cf. Liste des applications"</formula>
    </cfRule>
    <cfRule type="cellIs" dxfId="660" priority="475" stopIfTrue="1" operator="equal">
      <formula>"A déterminer"</formula>
    </cfRule>
    <cfRule type="cellIs" dxfId="659" priority="476" stopIfTrue="1" operator="equal">
      <formula>"cf. Liste des applications"</formula>
    </cfRule>
    <cfRule type="cellIs" dxfId="658" priority="477" stopIfTrue="1" operator="equal">
      <formula>"A déterminer"</formula>
    </cfRule>
  </conditionalFormatting>
  <conditionalFormatting sqref="AF47:AH47">
    <cfRule type="cellIs" dxfId="657" priority="301" stopIfTrue="1" operator="equal">
      <formula>"A déterminer"</formula>
    </cfRule>
    <cfRule type="cellIs" dxfId="656" priority="302" stopIfTrue="1" operator="equal">
      <formula>"cf. Liste des applications"</formula>
    </cfRule>
  </conditionalFormatting>
  <conditionalFormatting sqref="AF50:AH50">
    <cfRule type="cellIs" dxfId="655" priority="542" stopIfTrue="1" operator="equal">
      <formula>"A déterminer"</formula>
    </cfRule>
  </conditionalFormatting>
  <conditionalFormatting sqref="AF50:AH51">
    <cfRule type="cellIs" dxfId="654" priority="543" stopIfTrue="1" operator="equal">
      <formula>"cf. Liste des applications"</formula>
    </cfRule>
  </conditionalFormatting>
  <conditionalFormatting sqref="AF51:AH51">
    <cfRule type="cellIs" dxfId="653" priority="2067" stopIfTrue="1" operator="equal">
      <formula>"A déterminer"</formula>
    </cfRule>
    <cfRule type="cellIs" dxfId="652" priority="2068" stopIfTrue="1" operator="equal">
      <formula>"cf. Liste des applications"</formula>
    </cfRule>
    <cfRule type="cellIs" dxfId="651" priority="2069" stopIfTrue="1" operator="equal">
      <formula>"A déterminer"</formula>
    </cfRule>
  </conditionalFormatting>
  <conditionalFormatting sqref="AF54:AH54">
    <cfRule type="cellIs" dxfId="650" priority="1671" stopIfTrue="1" operator="equal">
      <formula>"A déterminer"</formula>
    </cfRule>
    <cfRule type="cellIs" dxfId="649" priority="1672" stopIfTrue="1" operator="equal">
      <formula>"cf. Liste des applications"</formula>
    </cfRule>
    <cfRule type="cellIs" dxfId="648" priority="1673" stopIfTrue="1" operator="equal">
      <formula>"A déterminer"</formula>
    </cfRule>
  </conditionalFormatting>
  <conditionalFormatting sqref="AF54:AH55">
    <cfRule type="cellIs" dxfId="647" priority="402" stopIfTrue="1" operator="equal">
      <formula>"cf. Liste des applications"</formula>
    </cfRule>
  </conditionalFormatting>
  <conditionalFormatting sqref="AF55:AH55">
    <cfRule type="cellIs" dxfId="646" priority="394" stopIfTrue="1" operator="equal">
      <formula>"A déterminer"</formula>
    </cfRule>
    <cfRule type="cellIs" dxfId="645" priority="395" stopIfTrue="1" operator="equal">
      <formula>"cf. Liste des applications"</formula>
    </cfRule>
    <cfRule type="cellIs" dxfId="644" priority="396" stopIfTrue="1" operator="equal">
      <formula>"A déterminer"</formula>
    </cfRule>
    <cfRule type="cellIs" dxfId="643" priority="397" stopIfTrue="1" operator="equal">
      <formula>"cf. Liste des applications"</formula>
    </cfRule>
    <cfRule type="cellIs" dxfId="642" priority="398" stopIfTrue="1" operator="equal">
      <formula>"A déterminer"</formula>
    </cfRule>
    <cfRule type="cellIs" dxfId="641" priority="399" stopIfTrue="1" operator="equal">
      <formula>"cf. Liste des applications"</formula>
    </cfRule>
    <cfRule type="cellIs" dxfId="640" priority="400" stopIfTrue="1" operator="equal">
      <formula>"A déterminer"</formula>
    </cfRule>
  </conditionalFormatting>
  <conditionalFormatting sqref="AF59:AH59">
    <cfRule type="cellIs" dxfId="639" priority="431" stopIfTrue="1" operator="equal">
      <formula>"A déterminer"</formula>
    </cfRule>
    <cfRule type="cellIs" dxfId="638" priority="432" stopIfTrue="1" operator="equal">
      <formula>"cf. Liste des applications"</formula>
    </cfRule>
    <cfRule type="cellIs" dxfId="637" priority="433" stopIfTrue="1" operator="equal">
      <formula>"A déterminer"</formula>
    </cfRule>
    <cfRule type="cellIs" dxfId="636" priority="434" stopIfTrue="1" operator="equal">
      <formula>"cf. Liste des applications"</formula>
    </cfRule>
    <cfRule type="cellIs" dxfId="635" priority="435" stopIfTrue="1" operator="equal">
      <formula>"A déterminer"</formula>
    </cfRule>
    <cfRule type="cellIs" dxfId="634" priority="436" stopIfTrue="1" operator="equal">
      <formula>"cf. Liste des applications"</formula>
    </cfRule>
    <cfRule type="cellIs" dxfId="633" priority="437" stopIfTrue="1" operator="equal">
      <formula>"A déterminer"</formula>
    </cfRule>
    <cfRule type="cellIs" dxfId="632" priority="438" stopIfTrue="1" operator="equal">
      <formula>"cf. Liste des applications"</formula>
    </cfRule>
    <cfRule type="cellIs" dxfId="631" priority="441" stopIfTrue="1" operator="equal">
      <formula>"A déterminer"</formula>
    </cfRule>
    <cfRule type="cellIs" dxfId="630" priority="442" stopIfTrue="1" operator="equal">
      <formula>"cf. Liste des applications"</formula>
    </cfRule>
    <cfRule type="cellIs" dxfId="629" priority="443" stopIfTrue="1" operator="equal">
      <formula>"A déterminer"</formula>
    </cfRule>
    <cfRule type="cellIs" dxfId="628" priority="444" stopIfTrue="1" operator="equal">
      <formula>"cf. Liste des applications"</formula>
    </cfRule>
    <cfRule type="cellIs" dxfId="627" priority="445" stopIfTrue="1" operator="equal">
      <formula>"A déterminer"</formula>
    </cfRule>
    <cfRule type="cellIs" dxfId="626" priority="446" stopIfTrue="1" operator="equal">
      <formula>"cf. Liste des applications"</formula>
    </cfRule>
    <cfRule type="cellIs" dxfId="625" priority="447" stopIfTrue="1" operator="equal">
      <formula>"A déterminer"</formula>
    </cfRule>
    <cfRule type="cellIs" dxfId="624" priority="448" stopIfTrue="1" operator="equal">
      <formula>"cf. Liste des applications"</formula>
    </cfRule>
    <cfRule type="cellIs" dxfId="623" priority="449" stopIfTrue="1" operator="equal">
      <formula>"A déterminer"</formula>
    </cfRule>
    <cfRule type="cellIs" dxfId="622" priority="450" stopIfTrue="1" operator="equal">
      <formula>"cf. Liste des applications"</formula>
    </cfRule>
    <cfRule type="cellIs" dxfId="621" priority="452" stopIfTrue="1" operator="equal">
      <formula>"A déterminer"</formula>
    </cfRule>
    <cfRule type="cellIs" dxfId="620" priority="453" stopIfTrue="1" operator="equal">
      <formula>"cf. Liste des applications"</formula>
    </cfRule>
    <cfRule type="cellIs" dxfId="619" priority="454" stopIfTrue="1" operator="equal">
      <formula>"A déterminer"</formula>
    </cfRule>
    <cfRule type="cellIs" dxfId="618" priority="455" stopIfTrue="1" operator="equal">
      <formula>"cf. Liste des applications"</formula>
    </cfRule>
    <cfRule type="cellIs" dxfId="617" priority="456" stopIfTrue="1" operator="equal">
      <formula>"A déterminer"</formula>
    </cfRule>
  </conditionalFormatting>
  <conditionalFormatting sqref="AF60:AH60">
    <cfRule type="cellIs" dxfId="616" priority="284" stopIfTrue="1" operator="equal">
      <formula>"A déterminer"</formula>
    </cfRule>
    <cfRule type="cellIs" dxfId="615" priority="285" stopIfTrue="1" operator="equal">
      <formula>"cf. Liste des applications"</formula>
    </cfRule>
    <cfRule type="cellIs" dxfId="614" priority="287" stopIfTrue="1" operator="equal">
      <formula>"A déterminer"</formula>
    </cfRule>
  </conditionalFormatting>
  <conditionalFormatting sqref="AF61:AH61">
    <cfRule type="cellIs" dxfId="613" priority="157" stopIfTrue="1" operator="equal">
      <formula>"A déterminer"</formula>
    </cfRule>
    <cfRule type="cellIs" dxfId="612" priority="158" stopIfTrue="1" operator="equal">
      <formula>"cf. Liste des applications"</formula>
    </cfRule>
    <cfRule type="cellIs" dxfId="611" priority="160" stopIfTrue="1" operator="equal">
      <formula>"A déterminer"</formula>
    </cfRule>
    <cfRule type="cellIs" dxfId="610" priority="161" stopIfTrue="1" operator="equal">
      <formula>"cf. Liste des applications"</formula>
    </cfRule>
    <cfRule type="cellIs" dxfId="609" priority="162" stopIfTrue="1" operator="equal">
      <formula>"A déterminer"</formula>
    </cfRule>
    <cfRule type="cellIs" dxfId="608" priority="163" stopIfTrue="1" operator="equal">
      <formula>"cf. Liste des applications"</formula>
    </cfRule>
    <cfRule type="cellIs" dxfId="607" priority="164" stopIfTrue="1" operator="equal">
      <formula>"A déterminer"</formula>
    </cfRule>
    <cfRule type="cellIs" dxfId="606" priority="165" stopIfTrue="1" operator="equal">
      <formula>"cf. Liste des applications"</formula>
    </cfRule>
  </conditionalFormatting>
  <conditionalFormatting sqref="AF62:AH62">
    <cfRule type="cellIs" dxfId="605" priority="1454" stopIfTrue="1" operator="equal">
      <formula>"A déterminer"</formula>
    </cfRule>
  </conditionalFormatting>
  <conditionalFormatting sqref="AF64:AH64">
    <cfRule type="cellIs" dxfId="604" priority="767" stopIfTrue="1" operator="equal">
      <formula>"A déterminer"</formula>
    </cfRule>
    <cfRule type="cellIs" dxfId="603" priority="768" stopIfTrue="1" operator="equal">
      <formula>"cf. Liste des applications"</formula>
    </cfRule>
    <cfRule type="cellIs" dxfId="602" priority="771" stopIfTrue="1" operator="equal">
      <formula>"A déterminer"</formula>
    </cfRule>
  </conditionalFormatting>
  <conditionalFormatting sqref="AF65:AH65">
    <cfRule type="cellIs" dxfId="601" priority="404" stopIfTrue="1" operator="equal">
      <formula>"A déterminer"</formula>
    </cfRule>
    <cfRule type="cellIs" dxfId="600" priority="405" stopIfTrue="1" operator="equal">
      <formula>"cf. Liste des applications"</formula>
    </cfRule>
    <cfRule type="cellIs" dxfId="599" priority="406" stopIfTrue="1" operator="equal">
      <formula>"A déterminer"</formula>
    </cfRule>
    <cfRule type="cellIs" dxfId="598" priority="407" stopIfTrue="1" operator="equal">
      <formula>"cf. Liste des applications"</formula>
    </cfRule>
    <cfRule type="cellIs" dxfId="597" priority="408" stopIfTrue="1" operator="equal">
      <formula>"A déterminer"</formula>
    </cfRule>
    <cfRule type="cellIs" dxfId="596" priority="409" stopIfTrue="1" operator="equal">
      <formula>"cf. Liste des applications"</formula>
    </cfRule>
    <cfRule type="cellIs" dxfId="595" priority="410" stopIfTrue="1" operator="equal">
      <formula>"A déterminer"</formula>
    </cfRule>
    <cfRule type="cellIs" dxfId="594" priority="411" stopIfTrue="1" operator="equal">
      <formula>"cf. Liste des applications"</formula>
    </cfRule>
    <cfRule type="cellIs" dxfId="593" priority="414" stopIfTrue="1" operator="equal">
      <formula>"A déterminer"</formula>
    </cfRule>
    <cfRule type="cellIs" dxfId="592" priority="415" stopIfTrue="1" operator="equal">
      <formula>"cf. Liste des applications"</formula>
    </cfRule>
    <cfRule type="cellIs" dxfId="591" priority="416" stopIfTrue="1" operator="equal">
      <formula>"A déterminer"</formula>
    </cfRule>
    <cfRule type="cellIs" dxfId="590" priority="417" stopIfTrue="1" operator="equal">
      <formula>"cf. Liste des applications"</formula>
    </cfRule>
    <cfRule type="cellIs" dxfId="589" priority="418" stopIfTrue="1" operator="equal">
      <formula>"A déterminer"</formula>
    </cfRule>
    <cfRule type="cellIs" dxfId="588" priority="419" stopIfTrue="1" operator="equal">
      <formula>"cf. Liste des applications"</formula>
    </cfRule>
    <cfRule type="cellIs" dxfId="587" priority="420" stopIfTrue="1" operator="equal">
      <formula>"A déterminer"</formula>
    </cfRule>
    <cfRule type="cellIs" dxfId="586" priority="421" stopIfTrue="1" operator="equal">
      <formula>"cf. Liste des applications"</formula>
    </cfRule>
    <cfRule type="cellIs" dxfId="585" priority="422" stopIfTrue="1" operator="equal">
      <formula>"A déterminer"</formula>
    </cfRule>
    <cfRule type="cellIs" dxfId="584" priority="423" stopIfTrue="1" operator="equal">
      <formula>"cf. Liste des applications"</formula>
    </cfRule>
    <cfRule type="cellIs" dxfId="583" priority="425" stopIfTrue="1" operator="equal">
      <formula>"A déterminer"</formula>
    </cfRule>
    <cfRule type="cellIs" dxfId="582" priority="426" stopIfTrue="1" operator="equal">
      <formula>"cf. Liste des applications"</formula>
    </cfRule>
    <cfRule type="cellIs" dxfId="581" priority="427" stopIfTrue="1" operator="equal">
      <formula>"A déterminer"</formula>
    </cfRule>
  </conditionalFormatting>
  <conditionalFormatting sqref="AF65:AH66">
    <cfRule type="cellIs" dxfId="580" priority="428" stopIfTrue="1" operator="equal">
      <formula>"cf. Liste des applications"</formula>
    </cfRule>
    <cfRule type="cellIs" dxfId="579" priority="429" stopIfTrue="1" operator="equal">
      <formula>"A déterminer"</formula>
    </cfRule>
  </conditionalFormatting>
  <conditionalFormatting sqref="AF66:AH66">
    <cfRule type="cellIs" dxfId="578" priority="535" stopIfTrue="1" operator="equal">
      <formula>"cf. Liste des applications"</formula>
    </cfRule>
    <cfRule type="cellIs" dxfId="577" priority="536" stopIfTrue="1" operator="equal">
      <formula>"A déterminer"</formula>
    </cfRule>
    <cfRule type="cellIs" dxfId="576" priority="537" stopIfTrue="1" operator="equal">
      <formula>"cf. Liste des applications"</formula>
    </cfRule>
  </conditionalFormatting>
  <conditionalFormatting sqref="AF67:AH67">
    <cfRule type="cellIs" dxfId="575" priority="380" stopIfTrue="1" operator="equal">
      <formula>"A déterminer"</formula>
    </cfRule>
    <cfRule type="cellIs" dxfId="574" priority="381" stopIfTrue="1" operator="equal">
      <formula>"cf. Liste des applications"</formula>
    </cfRule>
    <cfRule type="cellIs" dxfId="573" priority="382" stopIfTrue="1" operator="equal">
      <formula>"A déterminer"</formula>
    </cfRule>
    <cfRule type="cellIs" dxfId="572" priority="383" stopIfTrue="1" operator="equal">
      <formula>"cf. Liste des applications"</formula>
    </cfRule>
    <cfRule type="cellIs" dxfId="571" priority="384" stopIfTrue="1" operator="equal">
      <formula>"A déterminer"</formula>
    </cfRule>
    <cfRule type="cellIs" dxfId="570" priority="385" stopIfTrue="1" operator="equal">
      <formula>"cf. Liste des applications"</formula>
    </cfRule>
    <cfRule type="cellIs" dxfId="569" priority="387" stopIfTrue="1" operator="equal">
      <formula>"A déterminer"</formula>
    </cfRule>
    <cfRule type="cellIs" dxfId="568" priority="388" stopIfTrue="1" operator="equal">
      <formula>"cf. Liste des applications"</formula>
    </cfRule>
    <cfRule type="cellIs" dxfId="567" priority="389" stopIfTrue="1" operator="equal">
      <formula>"A déterminer"</formula>
    </cfRule>
    <cfRule type="cellIs" dxfId="566" priority="390" stopIfTrue="1" operator="equal">
      <formula>"cf. Liste des applications"</formula>
    </cfRule>
    <cfRule type="cellIs" dxfId="565" priority="391" stopIfTrue="1" operator="equal">
      <formula>"A déterminer"</formula>
    </cfRule>
    <cfRule type="cellIs" dxfId="564" priority="392" stopIfTrue="1" operator="equal">
      <formula>"cf. Liste des applications"</formula>
    </cfRule>
  </conditionalFormatting>
  <conditionalFormatting sqref="AF69:AH69">
    <cfRule type="cellIs" dxfId="563" priority="748" stopIfTrue="1" operator="equal">
      <formula>"A déterminer"</formula>
    </cfRule>
    <cfRule type="cellIs" dxfId="562" priority="749" stopIfTrue="1" operator="equal">
      <formula>"cf. Liste des applications"</formula>
    </cfRule>
    <cfRule type="cellIs" dxfId="561" priority="751" stopIfTrue="1" operator="equal">
      <formula>"A déterminer"</formula>
    </cfRule>
    <cfRule type="cellIs" dxfId="560" priority="752" stopIfTrue="1" operator="equal">
      <formula>"cf. Liste des applications"</formula>
    </cfRule>
    <cfRule type="cellIs" dxfId="559" priority="753" stopIfTrue="1" operator="equal">
      <formula>"A déterminer"</formula>
    </cfRule>
    <cfRule type="cellIs" dxfId="558" priority="754" stopIfTrue="1" operator="equal">
      <formula>"cf. Liste des applications"</formula>
    </cfRule>
    <cfRule type="cellIs" dxfId="557" priority="755" stopIfTrue="1" operator="equal">
      <formula>"A déterminer"</formula>
    </cfRule>
    <cfRule type="cellIs" dxfId="556" priority="756" stopIfTrue="1" operator="equal">
      <formula>"cf. Liste des applications"</formula>
    </cfRule>
  </conditionalFormatting>
  <conditionalFormatting sqref="AF70:AH70">
    <cfRule type="cellIs" dxfId="555" priority="529" stopIfTrue="1" operator="equal">
      <formula>"cf. Liste des applications"</formula>
    </cfRule>
    <cfRule type="cellIs" dxfId="554" priority="530" stopIfTrue="1" operator="equal">
      <formula>"A déterminer"</formula>
    </cfRule>
    <cfRule type="cellIs" dxfId="553" priority="531" stopIfTrue="1" operator="equal">
      <formula>"cf. Liste des applications"</formula>
    </cfRule>
    <cfRule type="cellIs" dxfId="552" priority="532" stopIfTrue="1" operator="equal">
      <formula>"A déterminer"</formula>
    </cfRule>
  </conditionalFormatting>
  <conditionalFormatting sqref="AF72:AH73">
    <cfRule type="cellIs" dxfId="551" priority="1224" stopIfTrue="1" operator="equal">
      <formula>"A déterminer"</formula>
    </cfRule>
  </conditionalFormatting>
  <conditionalFormatting sqref="AF72:AH74">
    <cfRule type="cellIs" dxfId="550" priority="1223" stopIfTrue="1" operator="equal">
      <formula>"cf. Liste des applications"</formula>
    </cfRule>
  </conditionalFormatting>
  <conditionalFormatting sqref="AF73:AH73">
    <cfRule type="cellIs" dxfId="549" priority="150" stopIfTrue="1" operator="equal">
      <formula>"A déterminer"</formula>
    </cfRule>
    <cfRule type="cellIs" dxfId="548" priority="151" stopIfTrue="1" operator="equal">
      <formula>"cf. Liste des applications"</formula>
    </cfRule>
    <cfRule type="cellIs" dxfId="547" priority="153" stopIfTrue="1" operator="equal">
      <formula>"A déterminer"</formula>
    </cfRule>
    <cfRule type="cellIs" dxfId="546" priority="154" stopIfTrue="1" operator="equal">
      <formula>"cf. Liste des applications"</formula>
    </cfRule>
    <cfRule type="cellIs" dxfId="545" priority="155" stopIfTrue="1" operator="equal">
      <formula>"A déterminer"</formula>
    </cfRule>
    <cfRule type="cellIs" dxfId="544" priority="156" stopIfTrue="1" operator="equal">
      <formula>"cf. Liste des applications"</formula>
    </cfRule>
  </conditionalFormatting>
  <conditionalFormatting sqref="AF74:AH75">
    <cfRule type="cellIs" dxfId="543" priority="1160" stopIfTrue="1" operator="equal">
      <formula>"A déterminer"</formula>
    </cfRule>
  </conditionalFormatting>
  <conditionalFormatting sqref="AF74:AH76">
    <cfRule type="cellIs" dxfId="542" priority="1159" stopIfTrue="1" operator="equal">
      <formula>"cf. Liste des applications"</formula>
    </cfRule>
  </conditionalFormatting>
  <conditionalFormatting sqref="AF74:AH84">
    <cfRule type="cellIs" dxfId="541" priority="211" stopIfTrue="1" operator="equal">
      <formula>"cf. Liste des applications"</formula>
    </cfRule>
  </conditionalFormatting>
  <conditionalFormatting sqref="AF76:AH77">
    <cfRule type="cellIs" dxfId="540" priority="515" stopIfTrue="1" operator="equal">
      <formula>"cf. Liste des applications"</formula>
    </cfRule>
    <cfRule type="cellIs" dxfId="539" priority="516" stopIfTrue="1" operator="equal">
      <formula>"A déterminer"</formula>
    </cfRule>
  </conditionalFormatting>
  <conditionalFormatting sqref="AF76:AH78">
    <cfRule type="cellIs" dxfId="538" priority="1129" stopIfTrue="1" operator="equal">
      <formula>"cf. Liste des applications"</formula>
    </cfRule>
    <cfRule type="cellIs" dxfId="537" priority="1130" stopIfTrue="1" operator="equal">
      <formula>"A déterminer"</formula>
    </cfRule>
  </conditionalFormatting>
  <conditionalFormatting sqref="AF79:AH79">
    <cfRule type="cellIs" dxfId="536" priority="966" stopIfTrue="1" operator="equal">
      <formula>"A déterminer"</formula>
    </cfRule>
    <cfRule type="cellIs" dxfId="535" priority="968" stopIfTrue="1" operator="equal">
      <formula>"cf. Liste des applications"</formula>
    </cfRule>
  </conditionalFormatting>
  <conditionalFormatting sqref="AF80:AH82">
    <cfRule type="cellIs" dxfId="534" priority="1001" stopIfTrue="1" operator="equal">
      <formula>"cf. Liste des applications"</formula>
    </cfRule>
    <cfRule type="cellIs" dxfId="533" priority="1002" stopIfTrue="1" operator="equal">
      <formula>"A déterminer"</formula>
    </cfRule>
  </conditionalFormatting>
  <conditionalFormatting sqref="AF81:AH81">
    <cfRule type="cellIs" dxfId="532" priority="1000" stopIfTrue="1" operator="equal">
      <formula>"A déterminer"</formula>
    </cfRule>
  </conditionalFormatting>
  <conditionalFormatting sqref="AF83:AH83">
    <cfRule type="cellIs" dxfId="531" priority="174" stopIfTrue="1" operator="equal">
      <formula>"A déterminer"</formula>
    </cfRule>
    <cfRule type="cellIs" dxfId="530" priority="175" stopIfTrue="1" operator="equal">
      <formula>"cf. Liste des applications"</formula>
    </cfRule>
  </conditionalFormatting>
  <conditionalFormatting sqref="AF83:AH84">
    <cfRule type="cellIs" dxfId="529" priority="176" stopIfTrue="1" operator="equal">
      <formula>"A déterminer"</formula>
    </cfRule>
  </conditionalFormatting>
  <conditionalFormatting sqref="AF83:AH85 AF7:AH7">
    <cfRule type="cellIs" dxfId="528" priority="290" stopIfTrue="1" operator="equal">
      <formula>"cf. Liste des applications"</formula>
    </cfRule>
  </conditionalFormatting>
  <conditionalFormatting sqref="AF83:AH85 AF87:AH87">
    <cfRule type="cellIs" dxfId="527" priority="212" stopIfTrue="1" operator="equal">
      <formula>"A déterminer"</formula>
    </cfRule>
  </conditionalFormatting>
  <conditionalFormatting sqref="AF85:AH85">
    <cfRule type="cellIs" dxfId="526" priority="116" stopIfTrue="1" operator="equal">
      <formula>"cf. Liste des applications"</formula>
    </cfRule>
    <cfRule type="cellIs" dxfId="525" priority="117" stopIfTrue="1" operator="equal">
      <formula>"A déterminer"</formula>
    </cfRule>
    <cfRule type="cellIs" dxfId="524" priority="142" stopIfTrue="1" operator="equal">
      <formula>"cf. Liste des applications"</formula>
    </cfRule>
  </conditionalFormatting>
  <conditionalFormatting sqref="AF85:AH86">
    <cfRule type="cellIs" dxfId="523" priority="72" stopIfTrue="1" operator="equal">
      <formula>"A déterminer"</formula>
    </cfRule>
  </conditionalFormatting>
  <conditionalFormatting sqref="AF86:AH86">
    <cfRule type="cellIs" dxfId="522" priority="70" stopIfTrue="1" operator="equal">
      <formula>"A déterminer"</formula>
    </cfRule>
  </conditionalFormatting>
  <conditionalFormatting sqref="AF86:AH87">
    <cfRule type="cellIs" dxfId="521" priority="32" stopIfTrue="1" operator="equal">
      <formula>"cf. Liste des applications"</formula>
    </cfRule>
    <cfRule type="cellIs" dxfId="520" priority="33" stopIfTrue="1" operator="equal">
      <formula>"A déterminer"</formula>
    </cfRule>
    <cfRule type="cellIs" dxfId="519" priority="71" stopIfTrue="1" operator="equal">
      <formula>"cf. Liste des applications"</formula>
    </cfRule>
  </conditionalFormatting>
  <conditionalFormatting sqref="AF87:AH87">
    <cfRule type="cellIs" dxfId="518" priority="6" stopIfTrue="1" operator="equal">
      <formula>"A déterminer"</formula>
    </cfRule>
    <cfRule type="cellIs" dxfId="517" priority="7" stopIfTrue="1" operator="equal">
      <formula>"cf. Liste des applications"</formula>
    </cfRule>
    <cfRule type="cellIs" dxfId="516" priority="8" stopIfTrue="1" operator="equal">
      <formula>"A déterminer"</formula>
    </cfRule>
  </conditionalFormatting>
  <conditionalFormatting sqref="AF38:AI38">
    <cfRule type="cellIs" dxfId="515" priority="487" stopIfTrue="1" operator="equal">
      <formula>"cf. Liste des applications"</formula>
    </cfRule>
  </conditionalFormatting>
  <conditionalFormatting sqref="AF45:AI45">
    <cfRule type="cellIs" dxfId="514" priority="478" stopIfTrue="1" operator="equal">
      <formula>"cf. Liste des applications"</formula>
    </cfRule>
  </conditionalFormatting>
  <conditionalFormatting sqref="AF56:AI56 AF58:AI58">
    <cfRule type="cellIs" dxfId="513" priority="1609" stopIfTrue="1" operator="equal">
      <formula>"cf. Liste des applications"</formula>
    </cfRule>
  </conditionalFormatting>
  <conditionalFormatting sqref="AF56:AI56 AF58:AM58">
    <cfRule type="cellIs" dxfId="512" priority="1610" stopIfTrue="1" operator="equal">
      <formula>"A déterminer"</formula>
    </cfRule>
  </conditionalFormatting>
  <conditionalFormatting sqref="AF64:AI64 AI67">
    <cfRule type="cellIs" dxfId="511" priority="1403" stopIfTrue="1" operator="equal">
      <formula>"A déterminer"</formula>
    </cfRule>
  </conditionalFormatting>
  <conditionalFormatting sqref="AF20:AM21">
    <cfRule type="cellIs" dxfId="510" priority="3379" stopIfTrue="1" operator="equal">
      <formula>"cf. Liste des applications"</formula>
    </cfRule>
  </conditionalFormatting>
  <conditionalFormatting sqref="AF83:AM85 AF87:AM87">
    <cfRule type="cellIs" dxfId="509" priority="170" stopIfTrue="1" operator="equal">
      <formula>"cf. Liste des applications"</formula>
    </cfRule>
  </conditionalFormatting>
  <conditionalFormatting sqref="AH58">
    <cfRule type="cellIs" dxfId="508" priority="785" stopIfTrue="1" operator="equal">
      <formula>"A déterminer"</formula>
    </cfRule>
    <cfRule type="cellIs" dxfId="507" priority="787" stopIfTrue="1" operator="equal">
      <formula>"cf. Liste des applications"</formula>
    </cfRule>
  </conditionalFormatting>
  <conditionalFormatting sqref="AH60">
    <cfRule type="cellIs" dxfId="506" priority="278" stopIfTrue="1" operator="equal">
      <formula>"cf. Liste des applications"</formula>
    </cfRule>
    <cfRule type="cellIs" dxfId="505" priority="279" stopIfTrue="1" operator="equal">
      <formula>"A déterminer"</formula>
    </cfRule>
    <cfRule type="cellIs" dxfId="504" priority="280" stopIfTrue="1" operator="equal">
      <formula>"cf. Liste des applications"</formula>
    </cfRule>
  </conditionalFormatting>
  <conditionalFormatting sqref="AH64">
    <cfRule type="cellIs" dxfId="503" priority="758" stopIfTrue="1" operator="equal">
      <formula>"A déterminer"</formula>
    </cfRule>
    <cfRule type="cellIs" dxfId="502" priority="760" stopIfTrue="1" operator="equal">
      <formula>"cf. Liste des applications"</formula>
    </cfRule>
  </conditionalFormatting>
  <conditionalFormatting sqref="AH69">
    <cfRule type="cellIs" dxfId="501" priority="739" stopIfTrue="1" operator="equal">
      <formula>"A déterminer"</formula>
    </cfRule>
    <cfRule type="cellIs" dxfId="500" priority="741" stopIfTrue="1" operator="equal">
      <formula>"cf. Liste des applications"</formula>
    </cfRule>
  </conditionalFormatting>
  <conditionalFormatting sqref="AI21:AI25">
    <cfRule type="cellIs" dxfId="499" priority="3241" stopIfTrue="1" operator="equal">
      <formula>"cf. Liste des applications"</formula>
    </cfRule>
    <cfRule type="cellIs" dxfId="498" priority="3242" stopIfTrue="1" operator="equal">
      <formula>"A déterminer"</formula>
    </cfRule>
  </conditionalFormatting>
  <conditionalFormatting sqref="AI31">
    <cfRule type="cellIs" dxfId="497" priority="2954" stopIfTrue="1" operator="equal">
      <formula>"cf. Liste des applications"</formula>
    </cfRule>
    <cfRule type="cellIs" dxfId="496" priority="2955" stopIfTrue="1" operator="equal">
      <formula>"A déterminer"</formula>
    </cfRule>
  </conditionalFormatting>
  <conditionalFormatting sqref="AI34">
    <cfRule type="cellIs" dxfId="495" priority="2015" stopIfTrue="1" operator="equal">
      <formula>"cf. Liste des applications"</formula>
    </cfRule>
    <cfRule type="cellIs" dxfId="494" priority="2016" stopIfTrue="1" operator="equal">
      <formula>"A déterminer"</formula>
    </cfRule>
    <cfRule type="cellIs" dxfId="493" priority="2017" stopIfTrue="1" operator="equal">
      <formula>"cf. Liste des applications"</formula>
    </cfRule>
    <cfRule type="cellIs" dxfId="492" priority="2018" stopIfTrue="1" operator="equal">
      <formula>"A déterminer"</formula>
    </cfRule>
  </conditionalFormatting>
  <conditionalFormatting sqref="AI36">
    <cfRule type="cellIs" dxfId="491" priority="1983" stopIfTrue="1" operator="equal">
      <formula>"cf. Liste des applications"</formula>
    </cfRule>
    <cfRule type="cellIs" dxfId="490" priority="1984" stopIfTrue="1" operator="equal">
      <formula>"A déterminer"</formula>
    </cfRule>
    <cfRule type="cellIs" dxfId="489" priority="1985" stopIfTrue="1" operator="equal">
      <formula>"cf. Liste des applications"</formula>
    </cfRule>
    <cfRule type="cellIs" dxfId="488" priority="1986" stopIfTrue="1" operator="equal">
      <formula>"A déterminer"</formula>
    </cfRule>
  </conditionalFormatting>
  <conditionalFormatting sqref="AI38">
    <cfRule type="cellIs" dxfId="487" priority="1914" stopIfTrue="1" operator="equal">
      <formula>"A déterminer"</formula>
    </cfRule>
    <cfRule type="cellIs" dxfId="486" priority="1915" stopIfTrue="1" operator="equal">
      <formula>"cf. Liste des applications"</formula>
    </cfRule>
    <cfRule type="cellIs" dxfId="485" priority="1916" stopIfTrue="1" operator="equal">
      <formula>"A déterminer"</formula>
    </cfRule>
  </conditionalFormatting>
  <conditionalFormatting sqref="AI41">
    <cfRule type="cellIs" dxfId="484" priority="1887" stopIfTrue="1" operator="equal">
      <formula>"cf. Liste des applications"</formula>
    </cfRule>
    <cfRule type="cellIs" dxfId="483" priority="1888" stopIfTrue="1" operator="equal">
      <formula>"A déterminer"</formula>
    </cfRule>
  </conditionalFormatting>
  <conditionalFormatting sqref="AI43">
    <cfRule type="cellIs" dxfId="482" priority="1840" stopIfTrue="1" operator="equal">
      <formula>"cf. Liste des applications"</formula>
    </cfRule>
    <cfRule type="cellIs" dxfId="481" priority="1841" stopIfTrue="1" operator="equal">
      <formula>"A déterminer"</formula>
    </cfRule>
    <cfRule type="cellIs" dxfId="480" priority="1842" stopIfTrue="1" operator="equal">
      <formula>"cf. Liste des applications"</formula>
    </cfRule>
    <cfRule type="cellIs" dxfId="479" priority="1843" stopIfTrue="1" operator="equal">
      <formula>"A déterminer"</formula>
    </cfRule>
  </conditionalFormatting>
  <conditionalFormatting sqref="AI45">
    <cfRule type="cellIs" dxfId="478" priority="1789" stopIfTrue="1" operator="equal">
      <formula>"A déterminer"</formula>
    </cfRule>
    <cfRule type="cellIs" dxfId="477" priority="1790" stopIfTrue="1" operator="equal">
      <formula>"cf. Liste des applications"</formula>
    </cfRule>
    <cfRule type="cellIs" dxfId="476" priority="1791" stopIfTrue="1" operator="equal">
      <formula>"A déterminer"</formula>
    </cfRule>
  </conditionalFormatting>
  <conditionalFormatting sqref="AI46 AI50:AM50">
    <cfRule type="cellIs" dxfId="475" priority="3078" stopIfTrue="1" operator="equal">
      <formula>"cf. Liste des applications"</formula>
    </cfRule>
  </conditionalFormatting>
  <conditionalFormatting sqref="AI46">
    <cfRule type="cellIs" dxfId="474" priority="2915" stopIfTrue="1" operator="equal">
      <formula>"A déterminer"</formula>
    </cfRule>
  </conditionalFormatting>
  <conditionalFormatting sqref="AI47">
    <cfRule type="cellIs" dxfId="473" priority="1744" stopIfTrue="1" operator="equal">
      <formula>"cf. Liste des applications"</formula>
    </cfRule>
    <cfRule type="cellIs" dxfId="472" priority="1745" stopIfTrue="1" operator="equal">
      <formula>"A déterminer"</formula>
    </cfRule>
    <cfRule type="cellIs" dxfId="471" priority="1746" stopIfTrue="1" operator="equal">
      <formula>"cf. Liste des applications"</formula>
    </cfRule>
    <cfRule type="cellIs" dxfId="470" priority="1747" stopIfTrue="1" operator="equal">
      <formula>"A déterminer"</formula>
    </cfRule>
  </conditionalFormatting>
  <conditionalFormatting sqref="AI52:AI53">
    <cfRule type="cellIs" dxfId="469" priority="1694" stopIfTrue="1" operator="equal">
      <formula>"cf. Liste des applications"</formula>
    </cfRule>
    <cfRule type="cellIs" dxfId="468" priority="1695" stopIfTrue="1" operator="equal">
      <formula>"A déterminer"</formula>
    </cfRule>
    <cfRule type="cellIs" dxfId="467" priority="1696" stopIfTrue="1" operator="equal">
      <formula>"cf. Liste des applications"</formula>
    </cfRule>
    <cfRule type="cellIs" dxfId="466" priority="1697" stopIfTrue="1" operator="equal">
      <formula>"A déterminer"</formula>
    </cfRule>
  </conditionalFormatting>
  <conditionalFormatting sqref="AI55">
    <cfRule type="cellIs" dxfId="465" priority="1660" stopIfTrue="1" operator="equal">
      <formula>"cf. Liste des applications"</formula>
    </cfRule>
    <cfRule type="cellIs" dxfId="464" priority="1661" stopIfTrue="1" operator="equal">
      <formula>"A déterminer"</formula>
    </cfRule>
  </conditionalFormatting>
  <conditionalFormatting sqref="AI56 AI58">
    <cfRule type="cellIs" dxfId="463" priority="1603" stopIfTrue="1" operator="equal">
      <formula>"A déterminer"</formula>
    </cfRule>
  </conditionalFormatting>
  <conditionalFormatting sqref="AI57 AI59">
    <cfRule type="cellIs" dxfId="462" priority="1557" stopIfTrue="1" operator="equal">
      <formula>"cf. Liste des applications"</formula>
    </cfRule>
    <cfRule type="cellIs" dxfId="461" priority="1558" stopIfTrue="1" operator="equal">
      <formula>"A déterminer"</formula>
    </cfRule>
  </conditionalFormatting>
  <conditionalFormatting sqref="AI57">
    <cfRule type="cellIs" dxfId="460" priority="1555" stopIfTrue="1" operator="equal">
      <formula>"cf. Liste des applications"</formula>
    </cfRule>
    <cfRule type="cellIs" dxfId="459" priority="1556" stopIfTrue="1" operator="equal">
      <formula>"A déterminer"</formula>
    </cfRule>
  </conditionalFormatting>
  <conditionalFormatting sqref="AI59:AI60">
    <cfRule type="cellIs" dxfId="458" priority="1539" stopIfTrue="1" operator="equal">
      <formula>"cf. Liste des applications"</formula>
    </cfRule>
    <cfRule type="cellIs" dxfId="457" priority="1540" stopIfTrue="1" operator="equal">
      <formula>"A déterminer"</formula>
    </cfRule>
  </conditionalFormatting>
  <conditionalFormatting sqref="AI60">
    <cfRule type="cellIs" dxfId="456" priority="1533" stopIfTrue="1" operator="equal">
      <formula>"A déterminer"</formula>
    </cfRule>
  </conditionalFormatting>
  <conditionalFormatting sqref="AI61">
    <cfRule type="cellIs" dxfId="455" priority="1485" stopIfTrue="1" operator="equal">
      <formula>"cf. Liste des applications"</formula>
    </cfRule>
    <cfRule type="cellIs" dxfId="454" priority="1486" stopIfTrue="1" operator="equal">
      <formula>"A déterminer"</formula>
    </cfRule>
    <cfRule type="cellIs" dxfId="453" priority="1487" stopIfTrue="1" operator="equal">
      <formula>"cf. Liste des applications"</formula>
    </cfRule>
    <cfRule type="cellIs" dxfId="452" priority="1488" stopIfTrue="1" operator="equal">
      <formula>"A déterminer"</formula>
    </cfRule>
  </conditionalFormatting>
  <conditionalFormatting sqref="AI63">
    <cfRule type="cellIs" dxfId="451" priority="1429" stopIfTrue="1" operator="equal">
      <formula>"cf. Liste des applications"</formula>
    </cfRule>
    <cfRule type="cellIs" dxfId="450" priority="1430" stopIfTrue="1" operator="equal">
      <formula>"A déterminer"</formula>
    </cfRule>
  </conditionalFormatting>
  <conditionalFormatting sqref="AI63:AI64 AI67:AL67">
    <cfRule type="cellIs" dxfId="449" priority="1409" stopIfTrue="1" operator="equal">
      <formula>"cf. Liste des applications"</formula>
    </cfRule>
    <cfRule type="cellIs" dxfId="448" priority="1410" stopIfTrue="1" operator="equal">
      <formula>"A déterminer"</formula>
    </cfRule>
  </conditionalFormatting>
  <conditionalFormatting sqref="AI65">
    <cfRule type="cellIs" dxfId="447" priority="1356" stopIfTrue="1" operator="equal">
      <formula>"A déterminer"</formula>
    </cfRule>
    <cfRule type="cellIs" dxfId="446" priority="1357" stopIfTrue="1" operator="equal">
      <formula>"cf. Liste des applications"</formula>
    </cfRule>
    <cfRule type="cellIs" dxfId="445" priority="1358" stopIfTrue="1" operator="equal">
      <formula>"A déterminer"</formula>
    </cfRule>
  </conditionalFormatting>
  <conditionalFormatting sqref="AI65:AI66">
    <cfRule type="cellIs" dxfId="444" priority="864" stopIfTrue="1" operator="equal">
      <formula>"cf. Liste des applications"</formula>
    </cfRule>
  </conditionalFormatting>
  <conditionalFormatting sqref="AI66">
    <cfRule type="cellIs" dxfId="443" priority="842" stopIfTrue="1" operator="equal">
      <formula>"A déterminer"</formula>
    </cfRule>
    <cfRule type="cellIs" dxfId="442" priority="846" stopIfTrue="1" operator="equal">
      <formula>"cf. Liste des applications"</formula>
    </cfRule>
    <cfRule type="cellIs" dxfId="441" priority="847" stopIfTrue="1" operator="equal">
      <formula>"A déterminer"</formula>
    </cfRule>
  </conditionalFormatting>
  <conditionalFormatting sqref="AI68">
    <cfRule type="cellIs" dxfId="440" priority="1329" stopIfTrue="1" operator="equal">
      <formula>"cf. Liste des applications"</formula>
    </cfRule>
    <cfRule type="cellIs" dxfId="439" priority="1330" stopIfTrue="1" operator="equal">
      <formula>"A déterminer"</formula>
    </cfRule>
  </conditionalFormatting>
  <conditionalFormatting sqref="AI68:AI69">
    <cfRule type="cellIs" dxfId="438" priority="1309" stopIfTrue="1" operator="equal">
      <formula>"cf. Liste des applications"</formula>
    </cfRule>
    <cfRule type="cellIs" dxfId="437" priority="1310" stopIfTrue="1" operator="equal">
      <formula>"A déterminer"</formula>
    </cfRule>
  </conditionalFormatting>
  <conditionalFormatting sqref="AI70:AI71">
    <cfRule type="cellIs" dxfId="436" priority="1255" stopIfTrue="1" operator="equal">
      <formula>"cf. Liste des applications"</formula>
    </cfRule>
    <cfRule type="cellIs" dxfId="435" priority="1256" stopIfTrue="1" operator="equal">
      <formula>"A déterminer"</formula>
    </cfRule>
    <cfRule type="cellIs" dxfId="434" priority="1257" stopIfTrue="1" operator="equal">
      <formula>"cf. Liste des applications"</formula>
    </cfRule>
    <cfRule type="cellIs" dxfId="433" priority="1258" stopIfTrue="1" operator="equal">
      <formula>"A déterminer"</formula>
    </cfRule>
  </conditionalFormatting>
  <conditionalFormatting sqref="AI73">
    <cfRule type="cellIs" dxfId="432" priority="1191" stopIfTrue="1" operator="equal">
      <formula>"cf. Liste des applications"</formula>
    </cfRule>
    <cfRule type="cellIs" dxfId="431" priority="1192" stopIfTrue="1" operator="equal">
      <formula>"A déterminer"</formula>
    </cfRule>
    <cfRule type="cellIs" dxfId="430" priority="1193" stopIfTrue="1" operator="equal">
      <formula>"cf. Liste des applications"</formula>
    </cfRule>
    <cfRule type="cellIs" dxfId="429" priority="1194" stopIfTrue="1" operator="equal">
      <formula>"A déterminer"</formula>
    </cfRule>
  </conditionalFormatting>
  <conditionalFormatting sqref="AI75">
    <cfRule type="cellIs" dxfId="428" priority="1101" stopIfTrue="1" operator="equal">
      <formula>"cf. Liste des applications"</formula>
    </cfRule>
    <cfRule type="cellIs" dxfId="427" priority="1102" stopIfTrue="1" operator="equal">
      <formula>"A déterminer"</formula>
    </cfRule>
    <cfRule type="cellIs" dxfId="426" priority="1103" stopIfTrue="1" operator="equal">
      <formula>"cf. Liste des applications"</formula>
    </cfRule>
    <cfRule type="cellIs" dxfId="425" priority="1104" stopIfTrue="1" operator="equal">
      <formula>"A déterminer"</formula>
    </cfRule>
  </conditionalFormatting>
  <conditionalFormatting sqref="AI77:AI78">
    <cfRule type="cellIs" dxfId="424" priority="1033" stopIfTrue="1" operator="equal">
      <formula>"cf. Liste des applications"</formula>
    </cfRule>
    <cfRule type="cellIs" dxfId="423" priority="1034" stopIfTrue="1" operator="equal">
      <formula>"A déterminer"</formula>
    </cfRule>
    <cfRule type="cellIs" dxfId="422" priority="1035" stopIfTrue="1" operator="equal">
      <formula>"cf. Liste des applications"</formula>
    </cfRule>
    <cfRule type="cellIs" dxfId="421" priority="1036" stopIfTrue="1" operator="equal">
      <formula>"A déterminer"</formula>
    </cfRule>
  </conditionalFormatting>
  <conditionalFormatting sqref="AI79">
    <cfRule type="cellIs" dxfId="420" priority="1077" stopIfTrue="1" operator="equal">
      <formula>"A déterminer"</formula>
    </cfRule>
  </conditionalFormatting>
  <conditionalFormatting sqref="AI80 AI82">
    <cfRule type="cellIs" dxfId="419" priority="973" stopIfTrue="1" operator="equal">
      <formula>"cf. Liste des applications"</formula>
    </cfRule>
    <cfRule type="cellIs" dxfId="418" priority="974" stopIfTrue="1" operator="equal">
      <formula>"A déterminer"</formula>
    </cfRule>
    <cfRule type="cellIs" dxfId="417" priority="975" stopIfTrue="1" operator="equal">
      <formula>"cf. Liste des applications"</formula>
    </cfRule>
    <cfRule type="cellIs" dxfId="416" priority="976" stopIfTrue="1" operator="equal">
      <formula>"A déterminer"</formula>
    </cfRule>
  </conditionalFormatting>
  <conditionalFormatting sqref="AI41:AL41">
    <cfRule type="cellIs" dxfId="415" priority="1890" stopIfTrue="1" operator="equal">
      <formula>"A déterminer"</formula>
    </cfRule>
  </conditionalFormatting>
  <conditionalFormatting sqref="AI69:AL69">
    <cfRule type="cellIs" dxfId="414" priority="1303" stopIfTrue="1" operator="equal">
      <formula>"A déterminer"</formula>
    </cfRule>
  </conditionalFormatting>
  <conditionalFormatting sqref="AI79:AL79">
    <cfRule type="cellIs" dxfId="413" priority="1083" stopIfTrue="1" operator="equal">
      <formula>"cf. Liste des applications"</formula>
    </cfRule>
    <cfRule type="cellIs" dxfId="412" priority="1084" stopIfTrue="1" operator="equal">
      <formula>"A déterminer"</formula>
    </cfRule>
  </conditionalFormatting>
  <conditionalFormatting sqref="AI10:AM10">
    <cfRule type="cellIs" dxfId="411" priority="86" stopIfTrue="1" operator="equal">
      <formula>"A déterminer"</formula>
    </cfRule>
    <cfRule type="cellIs" dxfId="410" priority="92" stopIfTrue="1" operator="equal">
      <formula>"cf. Liste des applications"</formula>
    </cfRule>
  </conditionalFormatting>
  <conditionalFormatting sqref="AI11:AM87 N26:N29 AE29:AH29 AC29:AD34 N29:AB38 AB30:AM30 AC30:AH33 BH30:BI39 AP30:AP40 AR30:AR40 AT30:AT40 AV30:AV40 AX30:AX40 AZ30:AZ40 BB30:BB40 BD30:BD40 BF30:BF40 BK30:BK40 AI7:AM9 N66:AH66 AP66 AR66 AT66 AV66 AX66 AZ66 BB66 BD66 BF66 BK66">
    <cfRule type="cellIs" dxfId="409" priority="867" stopIfTrue="1" operator="equal">
      <formula>"cf. Liste des applications"</formula>
    </cfRule>
  </conditionalFormatting>
  <conditionalFormatting sqref="AI11:AM87 N50:N87 AI7:AM9">
    <cfRule type="cellIs" dxfId="408" priority="865" stopIfTrue="1" operator="equal">
      <formula>"A déterminer"</formula>
    </cfRule>
  </conditionalFormatting>
  <conditionalFormatting sqref="AI13:AM16">
    <cfRule type="cellIs" dxfId="407" priority="2681" stopIfTrue="1" operator="equal">
      <formula>"cf. Liste des applications"</formula>
    </cfRule>
    <cfRule type="cellIs" dxfId="406" priority="2682" stopIfTrue="1" operator="equal">
      <formula>"A déterminer"</formula>
    </cfRule>
  </conditionalFormatting>
  <conditionalFormatting sqref="AI21:AM21">
    <cfRule type="cellIs" dxfId="405" priority="3380" stopIfTrue="1" operator="equal">
      <formula>"A déterminer"</formula>
    </cfRule>
  </conditionalFormatting>
  <conditionalFormatting sqref="AI34:AM34">
    <cfRule type="cellIs" dxfId="404" priority="2019" stopIfTrue="1" operator="equal">
      <formula>"cf. Liste des applications"</formula>
    </cfRule>
    <cfRule type="cellIs" dxfId="403" priority="2020" stopIfTrue="1" operator="equal">
      <formula>"A déterminer"</formula>
    </cfRule>
  </conditionalFormatting>
  <conditionalFormatting sqref="AI36:AM36">
    <cfRule type="cellIs" dxfId="402" priority="1987" stopIfTrue="1" operator="equal">
      <formula>"cf. Liste des applications"</formula>
    </cfRule>
    <cfRule type="cellIs" dxfId="401" priority="1988" stopIfTrue="1" operator="equal">
      <formula>"A déterminer"</formula>
    </cfRule>
  </conditionalFormatting>
  <conditionalFormatting sqref="AI46:AM46 AI49:AI50">
    <cfRule type="cellIs" dxfId="400" priority="3079" stopIfTrue="1" operator="equal">
      <formula>"A déterminer"</formula>
    </cfRule>
  </conditionalFormatting>
  <conditionalFormatting sqref="AI49:AM49">
    <cfRule type="cellIs" dxfId="399" priority="589" stopIfTrue="1" operator="equal">
      <formula>"cf. Liste des applications"</formula>
    </cfRule>
  </conditionalFormatting>
  <conditionalFormatting sqref="AI73:AM73">
    <cfRule type="cellIs" dxfId="398" priority="1195" stopIfTrue="1" operator="equal">
      <formula>"cf. Liste des applications"</formula>
    </cfRule>
    <cfRule type="cellIs" dxfId="397" priority="1196" stopIfTrue="1" operator="equal">
      <formula>"A déterminer"</formula>
    </cfRule>
  </conditionalFormatting>
  <conditionalFormatting sqref="AI83:AM85 AI87:AM87">
    <cfRule type="cellIs" dxfId="396" priority="169" stopIfTrue="1" operator="equal">
      <formula>"A déterminer"</formula>
    </cfRule>
  </conditionalFormatting>
  <conditionalFormatting sqref="AJ8:AL8 AJ11:AL87">
    <cfRule type="cellIs" dxfId="395" priority="148" stopIfTrue="1" operator="equal">
      <formula>"A déterminer"</formula>
    </cfRule>
  </conditionalFormatting>
  <conditionalFormatting sqref="AJ8:AL9">
    <cfRule type="cellIs" dxfId="394" priority="107" stopIfTrue="1" operator="equal">
      <formula>"cf. Liste des applications"</formula>
    </cfRule>
    <cfRule type="cellIs" dxfId="393" priority="108" stopIfTrue="1" operator="equal">
      <formula>"A déterminer"</formula>
    </cfRule>
  </conditionalFormatting>
  <conditionalFormatting sqref="AJ9:AL10">
    <cfRule type="cellIs" dxfId="392" priority="90" stopIfTrue="1" operator="equal">
      <formula>"cf. Liste des applications"</formula>
    </cfRule>
    <cfRule type="cellIs" dxfId="391" priority="91" stopIfTrue="1" operator="equal">
      <formula>"A déterminer"</formula>
    </cfRule>
  </conditionalFormatting>
  <conditionalFormatting sqref="AJ10:AL10">
    <cfRule type="cellIs" dxfId="390" priority="88" stopIfTrue="1" operator="equal">
      <formula>"cf. Liste des applications"</formula>
    </cfRule>
    <cfRule type="cellIs" dxfId="389" priority="89" stopIfTrue="1" operator="equal">
      <formula>"A déterminer"</formula>
    </cfRule>
  </conditionalFormatting>
  <conditionalFormatting sqref="AJ11:AL87 AJ8:AL8">
    <cfRule type="cellIs" dxfId="388" priority="147" stopIfTrue="1" operator="equal">
      <formula>"cf. Liste des applications"</formula>
    </cfRule>
  </conditionalFormatting>
  <conditionalFormatting sqref="AJ11:AL87">
    <cfRule type="cellIs" dxfId="387" priority="145" stopIfTrue="1" operator="equal">
      <formula>"cf. Liste des applications"</formula>
    </cfRule>
    <cfRule type="cellIs" dxfId="386" priority="146" stopIfTrue="1" operator="equal">
      <formula>"A déterminer"</formula>
    </cfRule>
  </conditionalFormatting>
  <conditionalFormatting sqref="AJ12:AL12 AJ14:AL14 AJ16:AL16 AJ18:AL18 AJ20:AL20 AJ22:AL22 AJ24:AL24 AJ26:AL26 AJ28:AL28 AJ30:AL82 AJ84:AL84">
    <cfRule type="cellIs" dxfId="385" priority="2244" stopIfTrue="1" operator="equal">
      <formula>"A déterminer"</formula>
    </cfRule>
  </conditionalFormatting>
  <conditionalFormatting sqref="AJ12:AL12 AJ14:AL14 AJ16:AL16 AJ18:AL18 AJ20:AL26 AJ28:AL30 AI31:AL31 AJ32:AL82 AJ84:AL84">
    <cfRule type="cellIs" dxfId="384" priority="2245" stopIfTrue="1" operator="equal">
      <formula>"cf. Liste des applications"</formula>
    </cfRule>
    <cfRule type="cellIs" dxfId="383" priority="2246" stopIfTrue="1" operator="equal">
      <formula>"A déterminer"</formula>
    </cfRule>
  </conditionalFormatting>
  <conditionalFormatting sqref="AJ12:AL12">
    <cfRule type="cellIs" dxfId="382" priority="2247" stopIfTrue="1" operator="equal">
      <formula>"cf. Liste des applications"</formula>
    </cfRule>
    <cfRule type="cellIs" dxfId="381" priority="2248" stopIfTrue="1" operator="equal">
      <formula>"A déterminer"</formula>
    </cfRule>
    <cfRule type="cellIs" dxfId="380" priority="2249" stopIfTrue="1" operator="equal">
      <formula>"cf. Liste des applications"</formula>
    </cfRule>
    <cfRule type="cellIs" dxfId="379" priority="2250" stopIfTrue="1" operator="equal">
      <formula>"A déterminer"</formula>
    </cfRule>
  </conditionalFormatting>
  <conditionalFormatting sqref="AJ14:AL14">
    <cfRule type="cellIs" dxfId="378" priority="2251" stopIfTrue="1" operator="equal">
      <formula>"cf. Liste des applications"</formula>
    </cfRule>
    <cfRule type="cellIs" dxfId="377" priority="2252" stopIfTrue="1" operator="equal">
      <formula>"A déterminer"</formula>
    </cfRule>
    <cfRule type="cellIs" dxfId="376" priority="2253" stopIfTrue="1" operator="equal">
      <formula>"cf. Liste des applications"</formula>
    </cfRule>
    <cfRule type="cellIs" dxfId="375" priority="2254" stopIfTrue="1" operator="equal">
      <formula>"A déterminer"</formula>
    </cfRule>
  </conditionalFormatting>
  <conditionalFormatting sqref="AJ15:AL15">
    <cfRule type="cellIs" dxfId="374" priority="2265" stopIfTrue="1" operator="equal">
      <formula>"cf. Liste des applications"</formula>
    </cfRule>
    <cfRule type="cellIs" dxfId="373" priority="2266" stopIfTrue="1" operator="equal">
      <formula>"A déterminer"</formula>
    </cfRule>
    <cfRule type="cellIs" dxfId="372" priority="2267" stopIfTrue="1" operator="equal">
      <formula>"cf. Liste des applications"</formula>
    </cfRule>
    <cfRule type="cellIs" dxfId="371" priority="2268" stopIfTrue="1" operator="equal">
      <formula>"A déterminer"</formula>
    </cfRule>
    <cfRule type="cellIs" dxfId="370" priority="2269" stopIfTrue="1" operator="equal">
      <formula>"cf. Liste des applications"</formula>
    </cfRule>
    <cfRule type="cellIs" dxfId="369" priority="2270" stopIfTrue="1" operator="equal">
      <formula>"A déterminer"</formula>
    </cfRule>
  </conditionalFormatting>
  <conditionalFormatting sqref="AJ15:AL17">
    <cfRule type="cellIs" dxfId="368" priority="2257" stopIfTrue="1" operator="equal">
      <formula>"cf. Liste des applications"</formula>
    </cfRule>
    <cfRule type="cellIs" dxfId="367" priority="2258" stopIfTrue="1" operator="equal">
      <formula>"A déterminer"</formula>
    </cfRule>
  </conditionalFormatting>
  <conditionalFormatting sqref="AJ16:AL16">
    <cfRule type="cellIs" dxfId="366" priority="2255" stopIfTrue="1" operator="equal">
      <formula>"cf. Liste des applications"</formula>
    </cfRule>
    <cfRule type="cellIs" dxfId="365" priority="2256" stopIfTrue="1" operator="equal">
      <formula>"A déterminer"</formula>
    </cfRule>
  </conditionalFormatting>
  <conditionalFormatting sqref="AJ17:AL17">
    <cfRule type="cellIs" dxfId="364" priority="2275" stopIfTrue="1" operator="equal">
      <formula>"cf. Liste des applications"</formula>
    </cfRule>
    <cfRule type="cellIs" dxfId="363" priority="2276" stopIfTrue="1" operator="equal">
      <formula>"A déterminer"</formula>
    </cfRule>
    <cfRule type="cellIs" dxfId="362" priority="2277" stopIfTrue="1" operator="equal">
      <formula>"cf. Liste des applications"</formula>
    </cfRule>
    <cfRule type="cellIs" dxfId="361" priority="2278" stopIfTrue="1" operator="equal">
      <formula>"A déterminer"</formula>
    </cfRule>
  </conditionalFormatting>
  <conditionalFormatting sqref="AJ17:AL20 C13:C19">
    <cfRule type="cellIs" dxfId="360" priority="2868" stopIfTrue="1" operator="equal">
      <formula>"cf. Liste des applications"</formula>
    </cfRule>
  </conditionalFormatting>
  <conditionalFormatting sqref="AJ18:AL18">
    <cfRule type="cellIs" dxfId="359" priority="655" stopIfTrue="1" operator="equal">
      <formula>"cf. Liste des applications"</formula>
    </cfRule>
    <cfRule type="cellIs" dxfId="358" priority="656" stopIfTrue="1" operator="equal">
      <formula>"A déterminer"</formula>
    </cfRule>
  </conditionalFormatting>
  <conditionalFormatting sqref="AJ18:AL19">
    <cfRule type="cellIs" dxfId="357" priority="657" stopIfTrue="1" operator="equal">
      <formula>"cf. Liste des applications"</formula>
    </cfRule>
    <cfRule type="cellIs" dxfId="356" priority="658" stopIfTrue="1" operator="equal">
      <formula>"A déterminer"</formula>
    </cfRule>
  </conditionalFormatting>
  <conditionalFormatting sqref="AJ18:AL26">
    <cfRule type="cellIs" dxfId="355" priority="819" stopIfTrue="1" operator="equal">
      <formula>"cf. Liste des applications"</formula>
    </cfRule>
    <cfRule type="cellIs" dxfId="354" priority="820" stopIfTrue="1" operator="equal">
      <formula>"A déterminer"</formula>
    </cfRule>
  </conditionalFormatting>
  <conditionalFormatting sqref="AJ19:AL19">
    <cfRule type="cellIs" dxfId="353" priority="817" stopIfTrue="1" operator="equal">
      <formula>"cf. Liste des applications"</formula>
    </cfRule>
    <cfRule type="cellIs" dxfId="352" priority="818" stopIfTrue="1" operator="equal">
      <formula>"A déterminer"</formula>
    </cfRule>
  </conditionalFormatting>
  <conditionalFormatting sqref="AJ20:AL20">
    <cfRule type="cellIs" dxfId="351" priority="2283" stopIfTrue="1" operator="equal">
      <formula>"cf. Liste des applications"</formula>
    </cfRule>
    <cfRule type="cellIs" dxfId="350" priority="2284" stopIfTrue="1" operator="equal">
      <formula>"A déterminer"</formula>
    </cfRule>
    <cfRule type="cellIs" dxfId="349" priority="2285" stopIfTrue="1" operator="equal">
      <formula>"cf. Liste des applications"</formula>
    </cfRule>
    <cfRule type="cellIs" dxfId="348" priority="2286" stopIfTrue="1" operator="equal">
      <formula>"A déterminer"</formula>
    </cfRule>
  </conditionalFormatting>
  <conditionalFormatting sqref="AJ22:AL22">
    <cfRule type="cellIs" dxfId="347" priority="2289" stopIfTrue="1" operator="equal">
      <formula>"cf. Liste des applications"</formula>
    </cfRule>
    <cfRule type="cellIs" dxfId="346" priority="2290" stopIfTrue="1" operator="equal">
      <formula>"A déterminer"</formula>
    </cfRule>
    <cfRule type="cellIs" dxfId="345" priority="2291" stopIfTrue="1" operator="equal">
      <formula>"cf. Liste des applications"</formula>
    </cfRule>
    <cfRule type="cellIs" dxfId="344" priority="2292" stopIfTrue="1" operator="equal">
      <formula>"A déterminer"</formula>
    </cfRule>
  </conditionalFormatting>
  <conditionalFormatting sqref="AJ23:AL26">
    <cfRule type="cellIs" dxfId="343" priority="2297" stopIfTrue="1" operator="equal">
      <formula>"cf. Liste des applications"</formula>
    </cfRule>
    <cfRule type="cellIs" dxfId="342" priority="2298" stopIfTrue="1" operator="equal">
      <formula>"A déterminer"</formula>
    </cfRule>
  </conditionalFormatting>
  <conditionalFormatting sqref="AJ24:AL24">
    <cfRule type="cellIs" dxfId="341" priority="2295" stopIfTrue="1" operator="equal">
      <formula>"cf. Liste des applications"</formula>
    </cfRule>
    <cfRule type="cellIs" dxfId="340" priority="2296" stopIfTrue="1" operator="equal">
      <formula>"A déterminer"</formula>
    </cfRule>
  </conditionalFormatting>
  <conditionalFormatting sqref="AJ26:AL26">
    <cfRule type="cellIs" dxfId="339" priority="2305" stopIfTrue="1" operator="equal">
      <formula>"cf. Liste des applications"</formula>
    </cfRule>
    <cfRule type="cellIs" dxfId="338" priority="2306" stopIfTrue="1" operator="equal">
      <formula>"A déterminer"</formula>
    </cfRule>
  </conditionalFormatting>
  <conditionalFormatting sqref="AJ27:AL27">
    <cfRule type="cellIs" dxfId="337" priority="642" stopIfTrue="1" operator="equal">
      <formula>"cf. Liste des applications"</formula>
    </cfRule>
    <cfRule type="cellIs" dxfId="336" priority="643" stopIfTrue="1" operator="equal">
      <formula>"A déterminer"</formula>
    </cfRule>
  </conditionalFormatting>
  <conditionalFormatting sqref="AJ27:AL28">
    <cfRule type="cellIs" dxfId="335" priority="644" stopIfTrue="1" operator="equal">
      <formula>"cf. Liste des applications"</formula>
    </cfRule>
    <cfRule type="cellIs" dxfId="334" priority="645" stopIfTrue="1" operator="equal">
      <formula>"A déterminer"</formula>
    </cfRule>
  </conditionalFormatting>
  <conditionalFormatting sqref="AJ30:AL82 AJ12:AL12 AJ14:AL14 AJ16:AL16 AJ18:AL18 AJ20:AL20 AJ22:AL22 AJ24:AL24 AJ26:AL26 AJ28:AL28 AJ84:AL84">
    <cfRule type="cellIs" dxfId="333" priority="2243" stopIfTrue="1" operator="equal">
      <formula>"cf. Liste des applications"</formula>
    </cfRule>
  </conditionalFormatting>
  <conditionalFormatting sqref="AJ46:AL46">
    <cfRule type="cellIs" dxfId="332" priority="2369" stopIfTrue="1" operator="equal">
      <formula>"cf. Liste des applications"</formula>
    </cfRule>
    <cfRule type="cellIs" dxfId="331" priority="2370" stopIfTrue="1" operator="equal">
      <formula>"A déterminer"</formula>
    </cfRule>
  </conditionalFormatting>
  <conditionalFormatting sqref="AJ46:AL47">
    <cfRule type="cellIs" dxfId="330" priority="1774" stopIfTrue="1" operator="equal">
      <formula>"cf. Liste des applications"</formula>
    </cfRule>
    <cfRule type="cellIs" dxfId="329" priority="1775" stopIfTrue="1" operator="equal">
      <formula>"A déterminer"</formula>
    </cfRule>
  </conditionalFormatting>
  <conditionalFormatting sqref="AJ49:AL49">
    <cfRule type="cellIs" dxfId="328" priority="555" stopIfTrue="1" operator="equal">
      <formula>"cf. Liste des applications"</formula>
    </cfRule>
    <cfRule type="cellIs" dxfId="327" priority="556" stopIfTrue="1" operator="equal">
      <formula>"A déterminer"</formula>
    </cfRule>
    <cfRule type="cellIs" dxfId="326" priority="565" stopIfTrue="1" operator="equal">
      <formula>"cf. Liste des applications"</formula>
    </cfRule>
    <cfRule type="cellIs" dxfId="325" priority="566" stopIfTrue="1" operator="equal">
      <formula>"A déterminer"</formula>
    </cfRule>
    <cfRule type="cellIs" dxfId="324" priority="567" stopIfTrue="1" operator="equal">
      <formula>"cf. Liste des applications"</formula>
    </cfRule>
    <cfRule type="cellIs" dxfId="323" priority="568" stopIfTrue="1" operator="equal">
      <formula>"A déterminer"</formula>
    </cfRule>
    <cfRule type="cellIs" dxfId="322" priority="569" stopIfTrue="1" operator="equal">
      <formula>"cf. Liste des applications"</formula>
    </cfRule>
    <cfRule type="cellIs" dxfId="321" priority="570" stopIfTrue="1" operator="equal">
      <formula>"A déterminer"</formula>
    </cfRule>
    <cfRule type="cellIs" dxfId="320" priority="571" stopIfTrue="1" operator="equal">
      <formula>"cf. Liste des applications"</formula>
    </cfRule>
    <cfRule type="cellIs" dxfId="319" priority="572" stopIfTrue="1" operator="equal">
      <formula>"A déterminer"</formula>
    </cfRule>
    <cfRule type="cellIs" dxfId="318" priority="573" stopIfTrue="1" operator="equal">
      <formula>"cf. Liste des applications"</formula>
    </cfRule>
    <cfRule type="cellIs" dxfId="317" priority="574" stopIfTrue="1" operator="equal">
      <formula>"A déterminer"</formula>
    </cfRule>
    <cfRule type="cellIs" dxfId="316" priority="575" stopIfTrue="1" operator="equal">
      <formula>"cf. Liste des applications"</formula>
    </cfRule>
    <cfRule type="cellIs" dxfId="315" priority="576" stopIfTrue="1" operator="equal">
      <formula>"A déterminer"</formula>
    </cfRule>
    <cfRule type="cellIs" dxfId="314" priority="577" stopIfTrue="1" operator="equal">
      <formula>"cf. Liste des applications"</formula>
    </cfRule>
    <cfRule type="cellIs" dxfId="313" priority="578" stopIfTrue="1" operator="equal">
      <formula>"A déterminer"</formula>
    </cfRule>
    <cfRule type="cellIs" dxfId="312" priority="579" stopIfTrue="1" operator="equal">
      <formula>"cf. Liste des applications"</formula>
    </cfRule>
    <cfRule type="cellIs" dxfId="311" priority="580" stopIfTrue="1" operator="equal">
      <formula>"A déterminer"</formula>
    </cfRule>
  </conditionalFormatting>
  <conditionalFormatting sqref="AJ50:AL50">
    <cfRule type="cellIs" dxfId="310" priority="2373" stopIfTrue="1" operator="equal">
      <formula>"cf. Liste des applications"</formula>
    </cfRule>
    <cfRule type="cellIs" dxfId="309" priority="2374" stopIfTrue="1" operator="equal">
      <formula>"A déterminer"</formula>
    </cfRule>
    <cfRule type="cellIs" dxfId="308" priority="2375" stopIfTrue="1" operator="equal">
      <formula>"cf. Liste des applications"</formula>
    </cfRule>
    <cfRule type="cellIs" dxfId="307" priority="2376" stopIfTrue="1" operator="equal">
      <formula>"A déterminer"</formula>
    </cfRule>
    <cfRule type="cellIs" dxfId="306" priority="2377" stopIfTrue="1" operator="equal">
      <formula>"cf. Liste des applications"</formula>
    </cfRule>
    <cfRule type="cellIs" dxfId="305" priority="2378" stopIfTrue="1" operator="equal">
      <formula>"A déterminer"</formula>
    </cfRule>
    <cfRule type="cellIs" dxfId="304" priority="2379" stopIfTrue="1" operator="equal">
      <formula>"cf. Liste des applications"</formula>
    </cfRule>
    <cfRule type="cellIs" dxfId="303" priority="2380" stopIfTrue="1" operator="equal">
      <formula>"A déterminer"</formula>
    </cfRule>
  </conditionalFormatting>
  <conditionalFormatting sqref="AJ50:AL51">
    <cfRule type="cellIs" dxfId="302" priority="2381" stopIfTrue="1" operator="equal">
      <formula>"cf. Liste des applications"</formula>
    </cfRule>
    <cfRule type="cellIs" dxfId="301" priority="2382" stopIfTrue="1" operator="equal">
      <formula>"A déterminer"</formula>
    </cfRule>
    <cfRule type="cellIs" dxfId="300" priority="2387" stopIfTrue="1" operator="equal">
      <formula>"cf. Liste des applications"</formula>
    </cfRule>
    <cfRule type="cellIs" dxfId="299" priority="2388" stopIfTrue="1" operator="equal">
      <formula>"A déterminer"</formula>
    </cfRule>
  </conditionalFormatting>
  <conditionalFormatting sqref="AJ50:AL53">
    <cfRule type="cellIs" dxfId="298" priority="2122" stopIfTrue="1" operator="equal">
      <formula>"cf. Liste des applications"</formula>
    </cfRule>
    <cfRule type="cellIs" dxfId="297" priority="2123" stopIfTrue="1" operator="equal">
      <formula>"A déterminer"</formula>
    </cfRule>
  </conditionalFormatting>
  <conditionalFormatting sqref="AJ52:AL52">
    <cfRule type="cellIs" dxfId="296" priority="608" stopIfTrue="1" operator="equal">
      <formula>"cf. Liste des applications"</formula>
    </cfRule>
    <cfRule type="cellIs" dxfId="295" priority="609" stopIfTrue="1" operator="equal">
      <formula>"A déterminer"</formula>
    </cfRule>
  </conditionalFormatting>
  <conditionalFormatting sqref="AJ54:AL55">
    <cfRule type="cellIs" dxfId="294" priority="1640" stopIfTrue="1" operator="equal">
      <formula>"cf. Liste des applications"</formula>
    </cfRule>
    <cfRule type="cellIs" dxfId="293" priority="1641" stopIfTrue="1" operator="equal">
      <formula>"A déterminer"</formula>
    </cfRule>
    <cfRule type="cellIs" dxfId="292" priority="1688" stopIfTrue="1" operator="equal">
      <formula>"cf. Liste des applications"</formula>
    </cfRule>
    <cfRule type="cellIs" dxfId="291" priority="1689" stopIfTrue="1" operator="equal">
      <formula>"A déterminer"</formula>
    </cfRule>
  </conditionalFormatting>
  <conditionalFormatting sqref="AJ55:AL55">
    <cfRule type="cellIs" dxfId="290" priority="1630" stopIfTrue="1" operator="equal">
      <formula>"cf. Liste des applications"</formula>
    </cfRule>
    <cfRule type="cellIs" dxfId="289" priority="1631" stopIfTrue="1" operator="equal">
      <formula>"A déterminer"</formula>
    </cfRule>
    <cfRule type="cellIs" dxfId="288" priority="1632" stopIfTrue="1" operator="equal">
      <formula>"cf. Liste des applications"</formula>
    </cfRule>
    <cfRule type="cellIs" dxfId="287" priority="1633" stopIfTrue="1" operator="equal">
      <formula>"A déterminer"</formula>
    </cfRule>
    <cfRule type="cellIs" dxfId="286" priority="1634" stopIfTrue="1" operator="equal">
      <formula>"cf. Liste des applications"</formula>
    </cfRule>
    <cfRule type="cellIs" dxfId="285" priority="1635" stopIfTrue="1" operator="equal">
      <formula>"A déterminer"</formula>
    </cfRule>
    <cfRule type="cellIs" dxfId="284" priority="1636" stopIfTrue="1" operator="equal">
      <formula>"cf. Liste des applications"</formula>
    </cfRule>
    <cfRule type="cellIs" dxfId="283" priority="1637" stopIfTrue="1" operator="equal">
      <formula>"A déterminer"</formula>
    </cfRule>
    <cfRule type="cellIs" dxfId="282" priority="1638" stopIfTrue="1" operator="equal">
      <formula>"cf. Liste des applications"</formula>
    </cfRule>
    <cfRule type="cellIs" dxfId="281" priority="1639" stopIfTrue="1" operator="equal">
      <formula>"A déterminer"</formula>
    </cfRule>
  </conditionalFormatting>
  <conditionalFormatting sqref="AJ55:AL59">
    <cfRule type="cellIs" dxfId="280" priority="1597" stopIfTrue="1" operator="equal">
      <formula>"cf. Liste des applications"</formula>
    </cfRule>
    <cfRule type="cellIs" dxfId="279" priority="1598" stopIfTrue="1" operator="equal">
      <formula>"A déterminer"</formula>
    </cfRule>
  </conditionalFormatting>
  <conditionalFormatting sqref="AJ56:AL56 AJ58:AL58">
    <cfRule type="cellIs" dxfId="278" priority="1585" stopIfTrue="1" operator="equal">
      <formula>"cf. Liste des applications"</formula>
    </cfRule>
    <cfRule type="cellIs" dxfId="277" priority="1586" stopIfTrue="1" operator="equal">
      <formula>"A déterminer"</formula>
    </cfRule>
    <cfRule type="cellIs" dxfId="276" priority="1595" stopIfTrue="1" operator="equal">
      <formula>"cf. Liste des applications"</formula>
    </cfRule>
    <cfRule type="cellIs" dxfId="275" priority="1596" stopIfTrue="1" operator="equal">
      <formula>"A déterminer"</formula>
    </cfRule>
  </conditionalFormatting>
  <conditionalFormatting sqref="AJ60:AL60">
    <cfRule type="cellIs" dxfId="274" priority="1515" stopIfTrue="1" operator="equal">
      <formula>"cf. Liste des applications"</formula>
    </cfRule>
    <cfRule type="cellIs" dxfId="273" priority="1516" stopIfTrue="1" operator="equal">
      <formula>"A déterminer"</formula>
    </cfRule>
    <cfRule type="cellIs" dxfId="272" priority="1525" stopIfTrue="1" operator="equal">
      <formula>"cf. Liste des applications"</formula>
    </cfRule>
    <cfRule type="cellIs" dxfId="271" priority="1526" stopIfTrue="1" operator="equal">
      <formula>"A déterminer"</formula>
    </cfRule>
  </conditionalFormatting>
  <conditionalFormatting sqref="AJ60:AL61">
    <cfRule type="cellIs" dxfId="270" priority="1527" stopIfTrue="1" operator="equal">
      <formula>"cf. Liste des applications"</formula>
    </cfRule>
    <cfRule type="cellIs" dxfId="269" priority="1528" stopIfTrue="1" operator="equal">
      <formula>"A déterminer"</formula>
    </cfRule>
  </conditionalFormatting>
  <conditionalFormatting sqref="AJ62:AL62">
    <cfRule type="cellIs" dxfId="268" priority="1465" stopIfTrue="1" operator="equal">
      <formula>"cf. Liste des applications"</formula>
    </cfRule>
    <cfRule type="cellIs" dxfId="267" priority="1466" stopIfTrue="1" operator="equal">
      <formula>"A déterminer"</formula>
    </cfRule>
    <cfRule type="cellIs" dxfId="266" priority="1469" stopIfTrue="1" operator="equal">
      <formula>"cf. Liste des applications"</formula>
    </cfRule>
    <cfRule type="cellIs" dxfId="265" priority="1470" stopIfTrue="1" operator="equal">
      <formula>"A déterminer"</formula>
    </cfRule>
  </conditionalFormatting>
  <conditionalFormatting sqref="AJ62:AL63">
    <cfRule type="cellIs" dxfId="264" priority="1471" stopIfTrue="1" operator="equal">
      <formula>"cf. Liste des applications"</formula>
    </cfRule>
    <cfRule type="cellIs" dxfId="263" priority="1472" stopIfTrue="1" operator="equal">
      <formula>"A déterminer"</formula>
    </cfRule>
  </conditionalFormatting>
  <conditionalFormatting sqref="AJ64:AL64 AJ67:AL67">
    <cfRule type="cellIs" dxfId="262" priority="1395" stopIfTrue="1" operator="equal">
      <formula>"cf. Liste des applications"</formula>
    </cfRule>
    <cfRule type="cellIs" dxfId="261" priority="1396" stopIfTrue="1" operator="equal">
      <formula>"A déterminer"</formula>
    </cfRule>
  </conditionalFormatting>
  <conditionalFormatting sqref="AJ64:AL64">
    <cfRule type="cellIs" dxfId="260" priority="1385" stopIfTrue="1" operator="equal">
      <formula>"cf. Liste des applications"</formula>
    </cfRule>
    <cfRule type="cellIs" dxfId="259" priority="1386" stopIfTrue="1" operator="equal">
      <formula>"A déterminer"</formula>
    </cfRule>
  </conditionalFormatting>
  <conditionalFormatting sqref="AJ64:AL65 AJ67:AL67">
    <cfRule type="cellIs" dxfId="258" priority="1397" stopIfTrue="1" operator="equal">
      <formula>"cf. Liste des applications"</formula>
    </cfRule>
    <cfRule type="cellIs" dxfId="257" priority="1398" stopIfTrue="1" operator="equal">
      <formula>"A déterminer"</formula>
    </cfRule>
  </conditionalFormatting>
  <conditionalFormatting sqref="AJ66:AL66">
    <cfRule type="cellIs" dxfId="256" priority="835" stopIfTrue="1" operator="equal">
      <formula>"cf. Liste des applications"</formula>
    </cfRule>
    <cfRule type="cellIs" dxfId="255" priority="836" stopIfTrue="1" operator="equal">
      <formula>"A déterminer"</formula>
    </cfRule>
  </conditionalFormatting>
  <conditionalFormatting sqref="AJ66:AL67">
    <cfRule type="cellIs" dxfId="254" priority="837" stopIfTrue="1" operator="equal">
      <formula>"cf. Liste des applications"</formula>
    </cfRule>
    <cfRule type="cellIs" dxfId="253" priority="838" stopIfTrue="1" operator="equal">
      <formula>"A déterminer"</formula>
    </cfRule>
  </conditionalFormatting>
  <conditionalFormatting sqref="AJ69:AL69">
    <cfRule type="cellIs" dxfId="252" priority="1285" stopIfTrue="1" operator="equal">
      <formula>"cf. Liste des applications"</formula>
    </cfRule>
    <cfRule type="cellIs" dxfId="251" priority="1286" stopIfTrue="1" operator="equal">
      <formula>"A déterminer"</formula>
    </cfRule>
    <cfRule type="cellIs" dxfId="250" priority="1295" stopIfTrue="1" operator="equal">
      <formula>"cf. Liste des applications"</formula>
    </cfRule>
    <cfRule type="cellIs" dxfId="249" priority="1296" stopIfTrue="1" operator="equal">
      <formula>"A déterminer"</formula>
    </cfRule>
    <cfRule type="cellIs" dxfId="248" priority="1297" stopIfTrue="1" operator="equal">
      <formula>"cf. Liste des applications"</formula>
    </cfRule>
    <cfRule type="cellIs" dxfId="247" priority="1298" stopIfTrue="1" operator="equal">
      <formula>"A déterminer"</formula>
    </cfRule>
  </conditionalFormatting>
  <conditionalFormatting sqref="AJ72:AL72">
    <cfRule type="cellIs" dxfId="246" priority="1235" stopIfTrue="1" operator="equal">
      <formula>"cf. Liste des applications"</formula>
    </cfRule>
    <cfRule type="cellIs" dxfId="245" priority="1236" stopIfTrue="1" operator="equal">
      <formula>"A déterminer"</formula>
    </cfRule>
    <cfRule type="cellIs" dxfId="244" priority="1239" stopIfTrue="1" operator="equal">
      <formula>"cf. Liste des applications"</formula>
    </cfRule>
    <cfRule type="cellIs" dxfId="243" priority="1240" stopIfTrue="1" operator="equal">
      <formula>"A déterminer"</formula>
    </cfRule>
    <cfRule type="cellIs" dxfId="242" priority="1241" stopIfTrue="1" operator="equal">
      <formula>"cf. Liste des applications"</formula>
    </cfRule>
    <cfRule type="cellIs" dxfId="241" priority="1242" stopIfTrue="1" operator="equal">
      <formula>"A déterminer"</formula>
    </cfRule>
  </conditionalFormatting>
  <conditionalFormatting sqref="AJ74:AL74">
    <cfRule type="cellIs" dxfId="240" priority="1171" stopIfTrue="1" operator="equal">
      <formula>"cf. Liste des applications"</formula>
    </cfRule>
    <cfRule type="cellIs" dxfId="239" priority="1172" stopIfTrue="1" operator="equal">
      <formula>"A déterminer"</formula>
    </cfRule>
    <cfRule type="cellIs" dxfId="238" priority="1175" stopIfTrue="1" operator="equal">
      <formula>"cf. Liste des applications"</formula>
    </cfRule>
    <cfRule type="cellIs" dxfId="237" priority="1176" stopIfTrue="1" operator="equal">
      <formula>"A déterminer"</formula>
    </cfRule>
    <cfRule type="cellIs" dxfId="236" priority="1177" stopIfTrue="1" operator="equal">
      <formula>"cf. Liste des applications"</formula>
    </cfRule>
    <cfRule type="cellIs" dxfId="235" priority="1178" stopIfTrue="1" operator="equal">
      <formula>"A déterminer"</formula>
    </cfRule>
  </conditionalFormatting>
  <conditionalFormatting sqref="AJ76:AL76">
    <cfRule type="cellIs" dxfId="234" priority="1141" stopIfTrue="1" operator="equal">
      <formula>"cf. Liste des applications"</formula>
    </cfRule>
    <cfRule type="cellIs" dxfId="233" priority="1142" stopIfTrue="1" operator="equal">
      <formula>"A déterminer"</formula>
    </cfRule>
    <cfRule type="cellIs" dxfId="232" priority="1145" stopIfTrue="1" operator="equal">
      <formula>"cf. Liste des applications"</formula>
    </cfRule>
    <cfRule type="cellIs" dxfId="231" priority="1146" stopIfTrue="1" operator="equal">
      <formula>"A déterminer"</formula>
    </cfRule>
    <cfRule type="cellIs" dxfId="230" priority="1147" stopIfTrue="1" operator="equal">
      <formula>"cf. Liste des applications"</formula>
    </cfRule>
    <cfRule type="cellIs" dxfId="229" priority="1148" stopIfTrue="1" operator="equal">
      <formula>"A déterminer"</formula>
    </cfRule>
  </conditionalFormatting>
  <conditionalFormatting sqref="AJ79:AL79">
    <cfRule type="cellIs" dxfId="228" priority="1059" stopIfTrue="1" operator="equal">
      <formula>"cf. Liste des applications"</formula>
    </cfRule>
    <cfRule type="cellIs" dxfId="227" priority="1060" stopIfTrue="1" operator="equal">
      <formula>"A déterminer"</formula>
    </cfRule>
    <cfRule type="cellIs" dxfId="226" priority="1069" stopIfTrue="1" operator="equal">
      <formula>"cf. Liste des applications"</formula>
    </cfRule>
    <cfRule type="cellIs" dxfId="225" priority="1070" stopIfTrue="1" operator="equal">
      <formula>"A déterminer"</formula>
    </cfRule>
    <cfRule type="cellIs" dxfId="224" priority="1071" stopIfTrue="1" operator="equal">
      <formula>"cf. Liste des applications"</formula>
    </cfRule>
    <cfRule type="cellIs" dxfId="223" priority="1072" stopIfTrue="1" operator="equal">
      <formula>"A déterminer"</formula>
    </cfRule>
  </conditionalFormatting>
  <conditionalFormatting sqref="AJ81:AL81">
    <cfRule type="cellIs" dxfId="222" priority="1013" stopIfTrue="1" operator="equal">
      <formula>"cf. Liste des applications"</formula>
    </cfRule>
    <cfRule type="cellIs" dxfId="221" priority="1014" stopIfTrue="1" operator="equal">
      <formula>"A déterminer"</formula>
    </cfRule>
    <cfRule type="cellIs" dxfId="220" priority="1017" stopIfTrue="1" operator="equal">
      <formula>"cf. Liste des applications"</formula>
    </cfRule>
    <cfRule type="cellIs" dxfId="219" priority="1018" stopIfTrue="1" operator="equal">
      <formula>"A déterminer"</formula>
    </cfRule>
    <cfRule type="cellIs" dxfId="218" priority="1019" stopIfTrue="1" operator="equal">
      <formula>"cf. Liste des applications"</formula>
    </cfRule>
    <cfRule type="cellIs" dxfId="217" priority="1020" stopIfTrue="1" operator="equal">
      <formula>"A déterminer"</formula>
    </cfRule>
  </conditionalFormatting>
  <conditionalFormatting sqref="AJ83:AL83">
    <cfRule type="cellIs" dxfId="216" priority="186" stopIfTrue="1" operator="equal">
      <formula>"A déterminer"</formula>
    </cfRule>
    <cfRule type="cellIs" dxfId="215" priority="188" stopIfTrue="1" operator="equal">
      <formula>"cf. Liste des applications"</formula>
    </cfRule>
    <cfRule type="cellIs" dxfId="214" priority="189" stopIfTrue="1" operator="equal">
      <formula>"A déterminer"</formula>
    </cfRule>
    <cfRule type="cellIs" dxfId="213" priority="190" stopIfTrue="1" operator="equal">
      <formula>"cf. Liste des applications"</formula>
    </cfRule>
    <cfRule type="cellIs" dxfId="212" priority="191" stopIfTrue="1" operator="equal">
      <formula>"A déterminer"</formula>
    </cfRule>
    <cfRule type="cellIs" dxfId="211" priority="194" stopIfTrue="1" operator="equal">
      <formula>"cf. Liste des applications"</formula>
    </cfRule>
  </conditionalFormatting>
  <conditionalFormatting sqref="AJ83:AL84">
    <cfRule type="cellIs" dxfId="210" priority="195" stopIfTrue="1" operator="equal">
      <formula>"A déterminer"</formula>
    </cfRule>
    <cfRule type="cellIs" dxfId="209" priority="196" stopIfTrue="1" operator="equal">
      <formula>"cf. Liste des applications"</formula>
    </cfRule>
  </conditionalFormatting>
  <conditionalFormatting sqref="AJ84:AL84">
    <cfRule type="cellIs" dxfId="208" priority="225" stopIfTrue="1" operator="equal">
      <formula>"A déterminer"</formula>
    </cfRule>
    <cfRule type="cellIs" dxfId="207" priority="226" stopIfTrue="1" operator="equal">
      <formula>"cf. Liste des applications"</formula>
    </cfRule>
    <cfRule type="cellIs" dxfId="206" priority="227" stopIfTrue="1" operator="equal">
      <formula>"A déterminer"</formula>
    </cfRule>
    <cfRule type="cellIs" dxfId="205" priority="230" stopIfTrue="1" operator="equal">
      <formula>"cf. Liste des applications"</formula>
    </cfRule>
    <cfRule type="cellIs" dxfId="204" priority="231" stopIfTrue="1" operator="equal">
      <formula>"A déterminer"</formula>
    </cfRule>
    <cfRule type="cellIs" dxfId="203" priority="232" stopIfTrue="1" operator="equal">
      <formula>"cf. Liste des applications"</formula>
    </cfRule>
  </conditionalFormatting>
  <conditionalFormatting sqref="AJ85:AL85">
    <cfRule type="cellIs" dxfId="202" priority="129" stopIfTrue="1" operator="equal">
      <formula>"cf. Liste des applications"</formula>
    </cfRule>
    <cfRule type="cellIs" dxfId="201" priority="130" stopIfTrue="1" operator="equal">
      <formula>"A déterminer"</formula>
    </cfRule>
    <cfRule type="cellIs" dxfId="200" priority="131" stopIfTrue="1" operator="equal">
      <formula>"cf. Liste des applications"</formula>
    </cfRule>
    <cfRule type="cellIs" dxfId="199" priority="132" stopIfTrue="1" operator="equal">
      <formula>"A déterminer"</formula>
    </cfRule>
    <cfRule type="cellIs" dxfId="198" priority="135" stopIfTrue="1" operator="equal">
      <formula>"cf. Liste des applications"</formula>
    </cfRule>
    <cfRule type="cellIs" dxfId="197" priority="136" stopIfTrue="1" operator="equal">
      <formula>"A déterminer"</formula>
    </cfRule>
    <cfRule type="cellIs" dxfId="196" priority="137" stopIfTrue="1" operator="equal">
      <formula>"cf. Liste des applications"</formula>
    </cfRule>
  </conditionalFormatting>
  <conditionalFormatting sqref="AJ85:AL86">
    <cfRule type="cellIs" dxfId="195" priority="68" stopIfTrue="1" operator="equal">
      <formula>"A déterminer"</formula>
    </cfRule>
  </conditionalFormatting>
  <conditionalFormatting sqref="AJ86:AL86">
    <cfRule type="cellIs" dxfId="194" priority="52" stopIfTrue="1" operator="equal">
      <formula>"A déterminer"</formula>
    </cfRule>
    <cfRule type="cellIs" dxfId="193" priority="54" stopIfTrue="1" operator="equal">
      <formula>"cf. Liste des applications"</formula>
    </cfRule>
    <cfRule type="cellIs" dxfId="192" priority="55" stopIfTrue="1" operator="equal">
      <formula>"A déterminer"</formula>
    </cfRule>
    <cfRule type="cellIs" dxfId="191" priority="56" stopIfTrue="1" operator="equal">
      <formula>"cf. Liste des applications"</formula>
    </cfRule>
    <cfRule type="cellIs" dxfId="190" priority="57" stopIfTrue="1" operator="equal">
      <formula>"A déterminer"</formula>
    </cfRule>
    <cfRule type="cellIs" dxfId="189" priority="65" stopIfTrue="1" operator="equal">
      <formula>"cf. Liste des applications"</formula>
    </cfRule>
    <cfRule type="cellIs" dxfId="188" priority="66" stopIfTrue="1" operator="equal">
      <formula>"A déterminer"</formula>
    </cfRule>
    <cfRule type="cellIs" dxfId="187" priority="67" stopIfTrue="1" operator="equal">
      <formula>"cf. Liste des applications"</formula>
    </cfRule>
  </conditionalFormatting>
  <conditionalFormatting sqref="AJ86:AL87">
    <cfRule type="cellIs" dxfId="186" priority="27" stopIfTrue="1" operator="equal">
      <formula>"cf. Liste des applications"</formula>
    </cfRule>
  </conditionalFormatting>
  <conditionalFormatting sqref="AJ87:AL87">
    <cfRule type="cellIs" dxfId="185" priority="17" stopIfTrue="1" operator="equal">
      <formula>"A déterminer"</formula>
    </cfRule>
    <cfRule type="cellIs" dxfId="184" priority="19" stopIfTrue="1" operator="equal">
      <formula>"cf. Liste des applications"</formula>
    </cfRule>
    <cfRule type="cellIs" dxfId="183" priority="20" stopIfTrue="1" operator="equal">
      <formula>"A déterminer"</formula>
    </cfRule>
    <cfRule type="cellIs" dxfId="182" priority="21" stopIfTrue="1" operator="equal">
      <formula>"cf. Liste des applications"</formula>
    </cfRule>
    <cfRule type="cellIs" dxfId="181" priority="22" stopIfTrue="1" operator="equal">
      <formula>"A déterminer"</formula>
    </cfRule>
    <cfRule type="cellIs" dxfId="180" priority="25" stopIfTrue="1" operator="equal">
      <formula>"cf. Liste des applications"</formula>
    </cfRule>
    <cfRule type="cellIs" dxfId="179" priority="26" stopIfTrue="1" operator="equal">
      <formula>"A déterminer"</formula>
    </cfRule>
  </conditionalFormatting>
  <conditionalFormatting sqref="AJ48:AM50">
    <cfRule type="cellIs" dxfId="178" priority="2576" stopIfTrue="1" operator="equal">
      <formula>"A déterminer"</formula>
    </cfRule>
  </conditionalFormatting>
  <conditionalFormatting sqref="AJ55:AM56">
    <cfRule type="cellIs" dxfId="177" priority="1651" stopIfTrue="1" operator="equal">
      <formula>"A déterminer"</formula>
    </cfRule>
  </conditionalFormatting>
  <conditionalFormatting sqref="AM32:AM33">
    <cfRule type="cellIs" dxfId="176" priority="2942" stopIfTrue="1" operator="equal">
      <formula>"cf. Liste des applications"</formula>
    </cfRule>
    <cfRule type="cellIs" dxfId="175" priority="2943" stopIfTrue="1" operator="equal">
      <formula>"A déterminer"</formula>
    </cfRule>
  </conditionalFormatting>
  <conditionalFormatting sqref="AM35">
    <cfRule type="cellIs" dxfId="174" priority="2043" stopIfTrue="1" operator="equal">
      <formula>"cf. Liste des applications"</formula>
    </cfRule>
    <cfRule type="cellIs" dxfId="173" priority="2044" stopIfTrue="1" operator="equal">
      <formula>"A déterminer"</formula>
    </cfRule>
  </conditionalFormatting>
  <conditionalFormatting sqref="AM37">
    <cfRule type="cellIs" dxfId="172" priority="1964" stopIfTrue="1" operator="equal">
      <formula>"cf. Liste des applications"</formula>
    </cfRule>
    <cfRule type="cellIs" dxfId="171" priority="1965" stopIfTrue="1" operator="equal">
      <formula>"A déterminer"</formula>
    </cfRule>
  </conditionalFormatting>
  <conditionalFormatting sqref="AM39:AM40">
    <cfRule type="cellIs" dxfId="170" priority="1941" stopIfTrue="1" operator="equal">
      <formula>"cf. Liste des applications"</formula>
    </cfRule>
    <cfRule type="cellIs" dxfId="169" priority="1942" stopIfTrue="1" operator="equal">
      <formula>"A déterminer"</formula>
    </cfRule>
  </conditionalFormatting>
  <conditionalFormatting sqref="AM42">
    <cfRule type="cellIs" dxfId="168" priority="1868" stopIfTrue="1" operator="equal">
      <formula>"cf. Liste des applications"</formula>
    </cfRule>
    <cfRule type="cellIs" dxfId="167" priority="1869" stopIfTrue="1" operator="equal">
      <formula>"A déterminer"</formula>
    </cfRule>
  </conditionalFormatting>
  <conditionalFormatting sqref="AM44">
    <cfRule type="cellIs" dxfId="166" priority="1816" stopIfTrue="1" operator="equal">
      <formula>"cf. Liste des applications"</formula>
    </cfRule>
    <cfRule type="cellIs" dxfId="165" priority="1817" stopIfTrue="1" operator="equal">
      <formula>"A déterminer"</formula>
    </cfRule>
  </conditionalFormatting>
  <conditionalFormatting sqref="AM48">
    <cfRule type="cellIs" dxfId="164" priority="1718" stopIfTrue="1" operator="equal">
      <formula>"cf. Liste des applications"</formula>
    </cfRule>
    <cfRule type="cellIs" dxfId="163" priority="1719" stopIfTrue="1" operator="equal">
      <formula>"A déterminer"</formula>
    </cfRule>
  </conditionalFormatting>
  <conditionalFormatting sqref="AP8:AP87 AR8:AR87 AT8:AT87 AV8:AV87 AX8:AX87 AZ8:AZ87 BB8:BB87 BD8:BD87 BF8:BF87 BK8:BK87 BH8:BI87">
    <cfRule type="cellIs" dxfId="162" priority="3965" stopIfTrue="1" operator="equal">
      <formula>"A déterminer"</formula>
    </cfRule>
  </conditionalFormatting>
  <conditionalFormatting sqref="AP34 AR34 AT34 AV34 AX34 AZ34 BB34 BD34 BF34 BK34">
    <cfRule type="cellIs" dxfId="161" priority="2039" stopIfTrue="1" operator="equal">
      <formula>"A déterminer"</formula>
    </cfRule>
  </conditionalFormatting>
  <conditionalFormatting sqref="AP36 AR36 AT36 AV36 AX36 AZ36 BB36 BD36 BF36 BK36">
    <cfRule type="cellIs" dxfId="160" priority="2007" stopIfTrue="1" operator="equal">
      <formula>"A déterminer"</formula>
    </cfRule>
  </conditionalFormatting>
  <conditionalFormatting sqref="AP38 AR38 AT38 AV38 AX38 AZ38 BB38 BD38 BF38 BK38">
    <cfRule type="cellIs" dxfId="159" priority="1937" stopIfTrue="1" operator="equal">
      <formula>"A déterminer"</formula>
    </cfRule>
  </conditionalFormatting>
  <conditionalFormatting sqref="AP43 AR43 AT43 AV43 AX43 AZ43 BB43 BD43 BF43 BK43">
    <cfRule type="cellIs" dxfId="158" priority="1864" stopIfTrue="1" operator="equal">
      <formula>"A déterminer"</formula>
    </cfRule>
  </conditionalFormatting>
  <conditionalFormatting sqref="AP45 AR45 AT45 AV45 AX45 AZ45 BB45 BD45 BF45 BK45">
    <cfRule type="cellIs" dxfId="157" priority="1812" stopIfTrue="1" operator="equal">
      <formula>"A déterminer"</formula>
    </cfRule>
  </conditionalFormatting>
  <conditionalFormatting sqref="AP47 AR47 AT47 AV47 AX47 AZ47 BB47 BD47 BF47 BK47">
    <cfRule type="cellIs" dxfId="156" priority="1768" stopIfTrue="1" operator="equal">
      <formula>"A déterminer"</formula>
    </cfRule>
  </conditionalFormatting>
  <conditionalFormatting sqref="AP47:AP59 AR47:AR59 AT47:AT59 AV47:AV59 AX47:AX59 AZ47:AZ59 BB47:BB59 BD47:BD59 BF47:BF59 BK47:BK59">
    <cfRule type="cellIs" dxfId="155" priority="3964" stopIfTrue="1" operator="equal">
      <formula>"cf. Liste des applications"</formula>
    </cfRule>
  </conditionalFormatting>
  <conditionalFormatting sqref="AP51 AR51 AT51 AV51 AX51 AZ51 BB51 BD51 BF51 BK51 AP54 AR54 AT54 AV54 AX54 AZ54 BB54 BD54 BF54 BK54">
    <cfRule type="cellIs" dxfId="154" priority="3781" stopIfTrue="1" operator="equal">
      <formula>"A déterminer"</formula>
    </cfRule>
  </conditionalFormatting>
  <conditionalFormatting sqref="AP53:AP65 AR53:AR65 AT53:AT65 AV53:AV65 AX53:AX65 AZ53:AZ65 BB53:BB65 BD53:BD65 BF53:BF65 BK53:BK65">
    <cfRule type="cellIs" dxfId="153" priority="1478" stopIfTrue="1" operator="equal">
      <formula>"A déterminer"</formula>
    </cfRule>
  </conditionalFormatting>
  <conditionalFormatting sqref="AP62 AR62 AT62 AV62 AX62 AZ62 BB62 BD62 BF62 BK62">
    <cfRule type="cellIs" dxfId="152" priority="1477" stopIfTrue="1" operator="equal">
      <formula>"cf. Liste des applications"</formula>
    </cfRule>
  </conditionalFormatting>
  <conditionalFormatting sqref="AP71:AP76 AR71:AR76 AT71:AT76 AV71:AV76 AX71:AX76 AZ71:AZ76 BB71:BB76 BD71:BD76 BF71:BF76 BK71:BK76 BH72:BI72">
    <cfRule type="cellIs" dxfId="151" priority="1248" stopIfTrue="1" operator="equal">
      <formula>"A déterminer"</formula>
    </cfRule>
  </conditionalFormatting>
  <conditionalFormatting sqref="AP72 AR72 AT72 AV72 AX72 AZ72 BB72 BD72 BF72 BK72">
    <cfRule type="cellIs" dxfId="150" priority="1247" stopIfTrue="1" operator="equal">
      <formula>"cf. Liste des applications"</formula>
    </cfRule>
  </conditionalFormatting>
  <conditionalFormatting sqref="AP73:AP75 AR73:AR75 AT73:AT75 AV73:AV75 AX73:AX75 AZ73:AZ75 BB73:BB75 BD73:BD75 BF73:BF75 BK73:BK75">
    <cfRule type="cellIs" dxfId="149" priority="1184" stopIfTrue="1" operator="equal">
      <formula>"A déterminer"</formula>
    </cfRule>
  </conditionalFormatting>
  <conditionalFormatting sqref="AP74 AR74 AT74 AV74 AX74 AZ74 BB74 BD74 BF74 BK74">
    <cfRule type="cellIs" dxfId="148" priority="1183" stopIfTrue="1" operator="equal">
      <formula>"cf. Liste des applications"</formula>
    </cfRule>
  </conditionalFormatting>
  <conditionalFormatting sqref="AP76 AR76 AT76 AV76 AX76 AZ76 BB76 BD76 BF76 BK76">
    <cfRule type="cellIs" dxfId="147" priority="1153" stopIfTrue="1" operator="equal">
      <formula>"cf. Liste des applications"</formula>
    </cfRule>
    <cfRule type="cellIs" dxfId="146" priority="1154" stopIfTrue="1" operator="equal">
      <formula>"A déterminer"</formula>
    </cfRule>
  </conditionalFormatting>
  <conditionalFormatting sqref="AP78:AP85 AR78:AR85 AT78:AT85 AV78:AV85 AX78:AX85 AZ78:AZ85 BB78:BB85 BD78:BD85 BF78:BF85 BK78:BK85 BH83:BI85 AP87 AR87 AT87 AV87 AX87 AZ87 BB87 BD87 BF87 BH87:BI87 BK87 I83:J85 I87:J87">
    <cfRule type="cellIs" dxfId="145" priority="356" stopIfTrue="1" operator="equal">
      <formula>"A déterminer"</formula>
    </cfRule>
  </conditionalFormatting>
  <conditionalFormatting sqref="AP81 AR81 AT81 AV81 AX81 AZ81 BB81 BD81 BF81 BK81">
    <cfRule type="cellIs" dxfId="144" priority="1025" stopIfTrue="1" operator="equal">
      <formula>"cf. Liste des applications"</formula>
    </cfRule>
  </conditionalFormatting>
  <conditionalFormatting sqref="AP83:AP85 AR83:AR85 AT83:AT85 AV83:AV85 AX83:AX85 AZ83:AZ85 BB83:BB85 BD83:BD85 BF83:BF85 BH83:BI85 BK83:BK85 AP87 AR87 AT87 AV87 AX87 AZ87 BB87 BD87 BF87 BH87:BI87 BK87">
    <cfRule type="cellIs" dxfId="143" priority="355" stopIfTrue="1" operator="equal">
      <formula>"cf. Liste des applications"</formula>
    </cfRule>
  </conditionalFormatting>
  <conditionalFormatting sqref="AP86 AR86 AT86 AV86 AX86 AZ86 BB86 BD86 BF86 BK86">
    <cfRule type="cellIs" dxfId="142" priority="59" stopIfTrue="1" operator="equal">
      <formula>"cf. Liste des applications"</formula>
    </cfRule>
    <cfRule type="cellIs" dxfId="141" priority="60" stopIfTrue="1" operator="equal">
      <formula>"A déterminer"</formula>
    </cfRule>
  </conditionalFormatting>
  <conditionalFormatting sqref="BH26:BI28 AP26:AP28 AR26:AR28 AT26:AT28 AV26:AV28 AX26:AX28 AZ26:AZ28 BB26:BB28 BD26:BD28 BF26:BF28 BK26:BK28">
    <cfRule type="cellIs" dxfId="140" priority="2598" stopIfTrue="1" operator="equal">
      <formula>"cf. Liste des applications"</formula>
    </cfRule>
  </conditionalFormatting>
  <conditionalFormatting sqref="BH30:BI32">
    <cfRule type="cellIs" dxfId="139" priority="3438" stopIfTrue="1" operator="equal">
      <formula>"cf. Liste des applications"</formula>
    </cfRule>
  </conditionalFormatting>
  <conditionalFormatting sqref="BH30:BI48 BH53:BI65">
    <cfRule type="cellIs" dxfId="138" priority="3439" stopIfTrue="1" operator="equal">
      <formula>"A déterminer"</formula>
    </cfRule>
  </conditionalFormatting>
  <conditionalFormatting sqref="BH34:BI34">
    <cfRule type="cellIs" dxfId="137" priority="2037" stopIfTrue="1" operator="equal">
      <formula>"cf. Liste des applications"</formula>
    </cfRule>
    <cfRule type="cellIs" dxfId="136" priority="2038" stopIfTrue="1" operator="equal">
      <formula>"A déterminer"</formula>
    </cfRule>
  </conditionalFormatting>
  <conditionalFormatting sqref="BH34:BI35">
    <cfRule type="cellIs" dxfId="135" priority="2040" stopIfTrue="1" operator="equal">
      <formula>"cf. Liste des applications"</formula>
    </cfRule>
  </conditionalFormatting>
  <conditionalFormatting sqref="BH36:BI36">
    <cfRule type="cellIs" dxfId="134" priority="2005" stopIfTrue="1" operator="equal">
      <formula>"cf. Liste des applications"</formula>
    </cfRule>
    <cfRule type="cellIs" dxfId="133" priority="2006" stopIfTrue="1" operator="equal">
      <formula>"A déterminer"</formula>
    </cfRule>
  </conditionalFormatting>
  <conditionalFormatting sqref="BH36:BI37">
    <cfRule type="cellIs" dxfId="132" priority="2008" stopIfTrue="1" operator="equal">
      <formula>"cf. Liste des applications"</formula>
    </cfRule>
  </conditionalFormatting>
  <conditionalFormatting sqref="BH38:BI38">
    <cfRule type="cellIs" dxfId="131" priority="1935" stopIfTrue="1" operator="equal">
      <formula>"cf. Liste des applications"</formula>
    </cfRule>
    <cfRule type="cellIs" dxfId="130" priority="1936" stopIfTrue="1" operator="equal">
      <formula>"A déterminer"</formula>
    </cfRule>
    <cfRule type="cellIs" dxfId="129" priority="1938" stopIfTrue="1" operator="equal">
      <formula>"cf. Liste des applications"</formula>
    </cfRule>
  </conditionalFormatting>
  <conditionalFormatting sqref="BH40:BI41">
    <cfRule type="cellIs" dxfId="128" priority="889" stopIfTrue="1" operator="equal">
      <formula>"cf. Liste des applications"</formula>
    </cfRule>
  </conditionalFormatting>
  <conditionalFormatting sqref="BH41:BI41">
    <cfRule type="cellIs" dxfId="127" priority="887" stopIfTrue="1" operator="equal">
      <formula>"cf. Liste des applications"</formula>
    </cfRule>
    <cfRule type="cellIs" dxfId="126" priority="888" stopIfTrue="1" operator="equal">
      <formula>"A déterminer"</formula>
    </cfRule>
  </conditionalFormatting>
  <conditionalFormatting sqref="BH43:BI43">
    <cfRule type="cellIs" dxfId="125" priority="1862" stopIfTrue="1" operator="equal">
      <formula>"cf. Liste des applications"</formula>
    </cfRule>
    <cfRule type="cellIs" dxfId="124" priority="1863" stopIfTrue="1" operator="equal">
      <formula>"A déterminer"</formula>
    </cfRule>
  </conditionalFormatting>
  <conditionalFormatting sqref="BH43:BI44">
    <cfRule type="cellIs" dxfId="123" priority="1865" stopIfTrue="1" operator="equal">
      <formula>"cf. Liste des applications"</formula>
    </cfRule>
  </conditionalFormatting>
  <conditionalFormatting sqref="BH45:BI45">
    <cfRule type="cellIs" dxfId="122" priority="1810" stopIfTrue="1" operator="equal">
      <formula>"cf. Liste des applications"</formula>
    </cfRule>
    <cfRule type="cellIs" dxfId="121" priority="1811" stopIfTrue="1" operator="equal">
      <formula>"A déterminer"</formula>
    </cfRule>
  </conditionalFormatting>
  <conditionalFormatting sqref="BH45:BI46">
    <cfRule type="cellIs" dxfId="120" priority="1813" stopIfTrue="1" operator="equal">
      <formula>"cf. Liste des applications"</formula>
    </cfRule>
  </conditionalFormatting>
  <conditionalFormatting sqref="BH47:BI47">
    <cfRule type="cellIs" dxfId="119" priority="1766" stopIfTrue="1" operator="equal">
      <formula>"cf. Liste des applications"</formula>
    </cfRule>
    <cfRule type="cellIs" dxfId="118" priority="1767" stopIfTrue="1" operator="equal">
      <formula>"A déterminer"</formula>
    </cfRule>
    <cfRule type="cellIs" dxfId="117" priority="1769" stopIfTrue="1" operator="equal">
      <formula>"cf. Liste des applications"</formula>
    </cfRule>
  </conditionalFormatting>
  <conditionalFormatting sqref="BH50:BI51 BH53:BI54">
    <cfRule type="cellIs" dxfId="116" priority="1715" stopIfTrue="1" operator="equal">
      <formula>"A déterminer"</formula>
    </cfRule>
  </conditionalFormatting>
  <conditionalFormatting sqref="BH53:BI54 BH51:BI51">
    <cfRule type="cellIs" dxfId="115" priority="1714" stopIfTrue="1" operator="equal">
      <formula>"cf. Liste des applications"</formula>
    </cfRule>
  </conditionalFormatting>
  <conditionalFormatting sqref="BH57:BI57 BH59:BI59">
    <cfRule type="cellIs" dxfId="114" priority="1577" stopIfTrue="1" operator="equal">
      <formula>"cf. Liste des applications"</formula>
    </cfRule>
    <cfRule type="cellIs" dxfId="113" priority="1578" stopIfTrue="1" operator="equal">
      <formula>"A déterminer"</formula>
    </cfRule>
  </conditionalFormatting>
  <conditionalFormatting sqref="BH57:BI60">
    <cfRule type="cellIs" dxfId="112" priority="1580" stopIfTrue="1" operator="equal">
      <formula>"cf. Liste des applications"</formula>
    </cfRule>
  </conditionalFormatting>
  <conditionalFormatting sqref="BH61:BI61">
    <cfRule type="cellIs" dxfId="111" priority="1507" stopIfTrue="1" operator="equal">
      <formula>"cf. Liste des applications"</formula>
    </cfRule>
    <cfRule type="cellIs" dxfId="110" priority="1508" stopIfTrue="1" operator="equal">
      <formula>"A déterminer"</formula>
    </cfRule>
    <cfRule type="cellIs" dxfId="109" priority="1510" stopIfTrue="1" operator="equal">
      <formula>"cf. Liste des applications"</formula>
    </cfRule>
  </conditionalFormatting>
  <conditionalFormatting sqref="BH62:BI63">
    <cfRule type="cellIs" dxfId="108" priority="1447" stopIfTrue="1" operator="equal">
      <formula>"cf. Liste des applications"</formula>
    </cfRule>
    <cfRule type="cellIs" dxfId="107" priority="1448" stopIfTrue="1" operator="equal">
      <formula>"A déterminer"</formula>
    </cfRule>
  </conditionalFormatting>
  <conditionalFormatting sqref="BH65:BI65">
    <cfRule type="cellIs" dxfId="106" priority="1377" stopIfTrue="1" operator="equal">
      <formula>"cf. Liste des applications"</formula>
    </cfRule>
    <cfRule type="cellIs" dxfId="105" priority="1378" stopIfTrue="1" operator="equal">
      <formula>"A déterminer"</formula>
    </cfRule>
    <cfRule type="cellIs" dxfId="104" priority="1380" stopIfTrue="1" operator="equal">
      <formula>"cf. Liste des applications"</formula>
    </cfRule>
  </conditionalFormatting>
  <conditionalFormatting sqref="BH66:BI66 AP65:AP69 AR65:AR69 AT65:AT69 AV65:AV69 AX65:AX69 AZ65:AZ69 BB65:BB69 BD65:BD69 BF65:BF69 BK65:BK69">
    <cfRule type="cellIs" dxfId="103" priority="869" stopIfTrue="1" operator="equal">
      <formula>"A déterminer"</formula>
    </cfRule>
  </conditionalFormatting>
  <conditionalFormatting sqref="BH66:BI66">
    <cfRule type="cellIs" dxfId="102" priority="868" stopIfTrue="1" operator="equal">
      <formula>"cf. Liste des applications"</formula>
    </cfRule>
  </conditionalFormatting>
  <conditionalFormatting sqref="BH68:BI68">
    <cfRule type="cellIs" dxfId="101" priority="1347" stopIfTrue="1" operator="equal">
      <formula>"cf. Liste des applications"</formula>
    </cfRule>
    <cfRule type="cellIs" dxfId="100" priority="1348" stopIfTrue="1" operator="equal">
      <formula>"A déterminer"</formula>
    </cfRule>
  </conditionalFormatting>
  <conditionalFormatting sqref="BH71:BI71">
    <cfRule type="cellIs" dxfId="99" priority="1277" stopIfTrue="1" operator="equal">
      <formula>"cf. Liste des applications"</formula>
    </cfRule>
    <cfRule type="cellIs" dxfId="98" priority="1278" stopIfTrue="1" operator="equal">
      <formula>"A déterminer"</formula>
    </cfRule>
  </conditionalFormatting>
  <conditionalFormatting sqref="BH71:BI72">
    <cfRule type="cellIs" dxfId="97" priority="1280" stopIfTrue="1" operator="equal">
      <formula>"cf. Liste des applications"</formula>
    </cfRule>
  </conditionalFormatting>
  <conditionalFormatting sqref="BH72:BI73">
    <cfRule type="cellIs" dxfId="96" priority="1216" stopIfTrue="1" operator="equal">
      <formula>"cf. Liste des applications"</formula>
    </cfRule>
  </conditionalFormatting>
  <conditionalFormatting sqref="BH73:BI73">
    <cfRule type="cellIs" dxfId="95" priority="1213" stopIfTrue="1" operator="equal">
      <formula>"cf. Liste des applications"</formula>
    </cfRule>
    <cfRule type="cellIs" dxfId="94" priority="1214" stopIfTrue="1" operator="equal">
      <formula>"A déterminer"</formula>
    </cfRule>
  </conditionalFormatting>
  <conditionalFormatting sqref="BH74:BI76">
    <cfRule type="cellIs" dxfId="93" priority="1121" stopIfTrue="1" operator="equal">
      <formula>"cf. Liste des applications"</formula>
    </cfRule>
    <cfRule type="cellIs" dxfId="92" priority="1122" stopIfTrue="1" operator="equal">
      <formula>"A déterminer"</formula>
    </cfRule>
  </conditionalFormatting>
  <conditionalFormatting sqref="BH78:BI78">
    <cfRule type="cellIs" dxfId="91" priority="1053" stopIfTrue="1" operator="equal">
      <formula>"cf. Liste des applications"</formula>
    </cfRule>
    <cfRule type="cellIs" dxfId="90" priority="1054" stopIfTrue="1" operator="equal">
      <formula>"A déterminer"</formula>
    </cfRule>
  </conditionalFormatting>
  <conditionalFormatting sqref="BH80:BI82">
    <cfRule type="cellIs" dxfId="89" priority="993" stopIfTrue="1" operator="equal">
      <formula>"cf. Liste des applications"</formula>
    </cfRule>
    <cfRule type="cellIs" dxfId="88" priority="994" stopIfTrue="1" operator="equal">
      <formula>"A déterminer"</formula>
    </cfRule>
  </conditionalFormatting>
  <conditionalFormatting sqref="BH83:BI83">
    <cfRule type="cellIs" dxfId="87" priority="171" stopIfTrue="1" operator="equal">
      <formula>"cf. Liste des applications"</formula>
    </cfRule>
    <cfRule type="cellIs" dxfId="86" priority="172" stopIfTrue="1" operator="equal">
      <formula>"A déterminer"</formula>
    </cfRule>
  </conditionalFormatting>
  <conditionalFormatting sqref="BH83:BI84">
    <cfRule type="cellIs" dxfId="85" priority="201" stopIfTrue="1" operator="equal">
      <formula>"cf. Liste des applications"</formula>
    </cfRule>
  </conditionalFormatting>
  <conditionalFormatting sqref="BH83:BI85 AP83:AP85 AR83:AR85 AT83:AT85 AV83:AV85 AX83:AX85 AZ83:AZ85 BB83:BB85 BD83:BD85 BF83:BF85 BK83:BK85 AP87 AR87 AT87 AV87 AX87 AZ87 BB87 BD87 BF87 BK87 BH87:BI87">
    <cfRule type="cellIs" dxfId="84" priority="354" stopIfTrue="1" operator="equal">
      <formula>"A déterminer"</formula>
    </cfRule>
  </conditionalFormatting>
  <conditionalFormatting sqref="BH84:BI84">
    <cfRule type="cellIs" dxfId="83" priority="208" stopIfTrue="1" operator="equal">
      <formula>"A déterminer"</formula>
    </cfRule>
    <cfRule type="cellIs" dxfId="82" priority="237" stopIfTrue="1" operator="equal">
      <formula>"cf. Liste des applications"</formula>
    </cfRule>
  </conditionalFormatting>
  <conditionalFormatting sqref="BH85:BI85">
    <cfRule type="cellIs" dxfId="81" priority="113" stopIfTrue="1" operator="equal">
      <formula>"A déterminer"</formula>
    </cfRule>
    <cfRule type="cellIs" dxfId="80" priority="141" stopIfTrue="1" operator="equal">
      <formula>"cf. Liste des applications"</formula>
    </cfRule>
  </conditionalFormatting>
  <conditionalFormatting sqref="BH85:BI87">
    <cfRule type="cellIs" dxfId="79" priority="63" stopIfTrue="1" operator="equal">
      <formula>"cf. Liste des applications"</formula>
    </cfRule>
  </conditionalFormatting>
  <conditionalFormatting sqref="BH86:BI87">
    <cfRule type="cellIs" dxfId="78" priority="3" stopIfTrue="1" operator="equal">
      <formula>"cf. Liste des applications"</formula>
    </cfRule>
    <cfRule type="cellIs" dxfId="77" priority="4" stopIfTrue="1" operator="equal">
      <formula>"A déterminer"</formula>
    </cfRule>
  </conditionalFormatting>
  <conditionalFormatting sqref="BI7:BI87">
    <cfRule type="dataBar" priority="377">
      <dataBar>
        <cfvo type="num" val="0"/>
        <cfvo type="num" val="90"/>
        <color rgb="FFFF0000"/>
      </dataBar>
      <extLst>
        <ext xmlns:x14="http://schemas.microsoft.com/office/spreadsheetml/2009/9/main" uri="{B025F937-C7B1-47D3-B67F-A62EFF666E3E}">
          <x14:id>{68949D40-6CAA-4CA8-B9BE-E6CD0F20603E}</x14:id>
        </ext>
      </extLst>
    </cfRule>
  </conditionalFormatting>
  <conditionalFormatting sqref="BI31">
    <cfRule type="cellIs" dxfId="76" priority="3420" stopIfTrue="1" operator="equal">
      <formula>"cf. Liste des applications"</formula>
    </cfRule>
    <cfRule type="cellIs" dxfId="75" priority="3421" stopIfTrue="1" operator="equal">
      <formula>"A déterminer"</formula>
    </cfRule>
  </conditionalFormatting>
  <conditionalFormatting sqref="BI34">
    <cfRule type="cellIs" dxfId="74" priority="2023" stopIfTrue="1" operator="equal">
      <formula>"cf. Liste des applications"</formula>
    </cfRule>
    <cfRule type="cellIs" dxfId="73" priority="2024" stopIfTrue="1" operator="equal">
      <formula>"A déterminer"</formula>
    </cfRule>
  </conditionalFormatting>
  <conditionalFormatting sqref="BI36">
    <cfRule type="cellIs" dxfId="72" priority="1991" stopIfTrue="1" operator="equal">
      <formula>"cf. Liste des applications"</formula>
    </cfRule>
    <cfRule type="cellIs" dxfId="71" priority="1992" stopIfTrue="1" operator="equal">
      <formula>"A déterminer"</formula>
    </cfRule>
  </conditionalFormatting>
  <conditionalFormatting sqref="BI38">
    <cfRule type="cellIs" dxfId="70" priority="1921" stopIfTrue="1" operator="equal">
      <formula>"cf. Liste des applications"</formula>
    </cfRule>
    <cfRule type="cellIs" dxfId="69" priority="1922" stopIfTrue="1" operator="equal">
      <formula>"A déterminer"</formula>
    </cfRule>
  </conditionalFormatting>
  <conditionalFormatting sqref="BI41">
    <cfRule type="cellIs" dxfId="68" priority="1894" stopIfTrue="1" operator="equal">
      <formula>"A déterminer"</formula>
    </cfRule>
  </conditionalFormatting>
  <conditionalFormatting sqref="BI43">
    <cfRule type="cellIs" dxfId="67" priority="1848" stopIfTrue="1" operator="equal">
      <formula>"cf. Liste des applications"</formula>
    </cfRule>
    <cfRule type="cellIs" dxfId="66" priority="1849" stopIfTrue="1" operator="equal">
      <formula>"A déterminer"</formula>
    </cfRule>
  </conditionalFormatting>
  <conditionalFormatting sqref="BI45">
    <cfRule type="cellIs" dxfId="65" priority="1796" stopIfTrue="1" operator="equal">
      <formula>"cf. Liste des applications"</formula>
    </cfRule>
    <cfRule type="cellIs" dxfId="64" priority="1797" stopIfTrue="1" operator="equal">
      <formula>"A déterminer"</formula>
    </cfRule>
  </conditionalFormatting>
  <conditionalFormatting sqref="BI47">
    <cfRule type="cellIs" dxfId="63" priority="1752" stopIfTrue="1" operator="equal">
      <formula>"cf. Liste des applications"</formula>
    </cfRule>
    <cfRule type="cellIs" dxfId="62" priority="1753" stopIfTrue="1" operator="equal">
      <formula>"A déterminer"</formula>
    </cfRule>
  </conditionalFormatting>
  <conditionalFormatting sqref="BI53">
    <cfRule type="cellIs" dxfId="61" priority="1700" stopIfTrue="1" operator="equal">
      <formula>"cf. Liste des applications"</formula>
    </cfRule>
    <cfRule type="cellIs" dxfId="60" priority="1701" stopIfTrue="1" operator="equal">
      <formula>"A déterminer"</formula>
    </cfRule>
  </conditionalFormatting>
  <conditionalFormatting sqref="BI57 BI59">
    <cfRule type="cellIs" dxfId="59" priority="1563" stopIfTrue="1" operator="equal">
      <formula>"cf. Liste des applications"</formula>
    </cfRule>
    <cfRule type="cellIs" dxfId="58" priority="1564" stopIfTrue="1" operator="equal">
      <formula>"A déterminer"</formula>
    </cfRule>
  </conditionalFormatting>
  <conditionalFormatting sqref="BI61">
    <cfRule type="cellIs" dxfId="57" priority="1493" stopIfTrue="1" operator="equal">
      <formula>"cf. Liste des applications"</formula>
    </cfRule>
    <cfRule type="cellIs" dxfId="56" priority="1494" stopIfTrue="1" operator="equal">
      <formula>"A déterminer"</formula>
    </cfRule>
  </conditionalFormatting>
  <conditionalFormatting sqref="BI63">
    <cfRule type="cellIs" dxfId="55" priority="1433" stopIfTrue="1" operator="equal">
      <formula>"cf. Liste des applications"</formula>
    </cfRule>
    <cfRule type="cellIs" dxfId="54" priority="1434" stopIfTrue="1" operator="equal">
      <formula>"A déterminer"</formula>
    </cfRule>
  </conditionalFormatting>
  <conditionalFormatting sqref="BI65">
    <cfRule type="cellIs" dxfId="53" priority="1363" stopIfTrue="1" operator="equal">
      <formula>"cf. Liste des applications"</formula>
    </cfRule>
    <cfRule type="cellIs" dxfId="52" priority="1364" stopIfTrue="1" operator="equal">
      <formula>"A déterminer"</formula>
    </cfRule>
  </conditionalFormatting>
  <conditionalFormatting sqref="BI68">
    <cfRule type="cellIs" dxfId="51" priority="1333" stopIfTrue="1" operator="equal">
      <formula>"cf. Liste des applications"</formula>
    </cfRule>
    <cfRule type="cellIs" dxfId="50" priority="1334" stopIfTrue="1" operator="equal">
      <formula>"A déterminer"</formula>
    </cfRule>
  </conditionalFormatting>
  <conditionalFormatting sqref="BI71">
    <cfRule type="cellIs" dxfId="49" priority="1263" stopIfTrue="1" operator="equal">
      <formula>"cf. Liste des applications"</formula>
    </cfRule>
    <cfRule type="cellIs" dxfId="48" priority="1264" stopIfTrue="1" operator="equal">
      <formula>"A déterminer"</formula>
    </cfRule>
  </conditionalFormatting>
  <conditionalFormatting sqref="BI73">
    <cfRule type="cellIs" dxfId="47" priority="1199" stopIfTrue="1" operator="equal">
      <formula>"cf. Liste des applications"</formula>
    </cfRule>
    <cfRule type="cellIs" dxfId="46" priority="1200" stopIfTrue="1" operator="equal">
      <formula>"A déterminer"</formula>
    </cfRule>
  </conditionalFormatting>
  <conditionalFormatting sqref="BI75">
    <cfRule type="cellIs" dxfId="45" priority="1107" stopIfTrue="1" operator="equal">
      <formula>"cf. Liste des applications"</formula>
    </cfRule>
    <cfRule type="cellIs" dxfId="44" priority="1108" stopIfTrue="1" operator="equal">
      <formula>"A déterminer"</formula>
    </cfRule>
  </conditionalFormatting>
  <conditionalFormatting sqref="BI78">
    <cfRule type="cellIs" dxfId="43" priority="1039" stopIfTrue="1" operator="equal">
      <formula>"cf. Liste des applications"</formula>
    </cfRule>
    <cfRule type="cellIs" dxfId="42" priority="1040" stopIfTrue="1" operator="equal">
      <formula>"A déterminer"</formula>
    </cfRule>
  </conditionalFormatting>
  <conditionalFormatting sqref="BI80 BI82">
    <cfRule type="cellIs" dxfId="41" priority="979" stopIfTrue="1" operator="equal">
      <formula>"cf. Liste des applications"</formula>
    </cfRule>
    <cfRule type="cellIs" dxfId="40" priority="980" stopIfTrue="1" operator="equal">
      <formula>"A déterminer"</formula>
    </cfRule>
  </conditionalFormatting>
  <pageMargins left="0.23622047244094491" right="0.23622047244094491" top="0.74803149606299213" bottom="0.74803149606299213" header="0.31496062992125984" footer="0.31496062992125984"/>
  <pageSetup paperSize="9" scale="48" fitToHeight="0" orientation="landscape" r:id="rId1"/>
  <headerFooter>
    <oddFooter>&amp;C&amp;K000000&amp;P/&amp;N</oddFooter>
  </headerFooter>
  <legacyDrawing r:id="rId2"/>
  <extLst>
    <ext xmlns:x14="http://schemas.microsoft.com/office/spreadsheetml/2009/9/main" uri="{78C0D931-6437-407d-A8EE-F0AAD7539E65}">
      <x14:conditionalFormattings>
        <x14:conditionalFormatting xmlns:xm="http://schemas.microsoft.com/office/excel/2006/main">
          <x14:cfRule type="dataBar" id="{68949D40-6CAA-4CA8-B9BE-E6CD0F20603E}">
            <x14:dataBar minLength="0" maxLength="100" gradient="0">
              <x14:cfvo type="num">
                <xm:f>0</xm:f>
              </x14:cfvo>
              <x14:cfvo type="num">
                <xm:f>90</xm:f>
              </x14:cfvo>
              <x14:negativeFillColor rgb="FFFF0000"/>
              <x14:axisColor rgb="FF000000"/>
            </x14:dataBar>
          </x14:cfRule>
          <xm:sqref>BI7:BI87</xm:sqref>
        </x14:conditionalFormatting>
      </x14:conditionalFormattings>
    </ext>
    <ext xmlns:x14="http://schemas.microsoft.com/office/spreadsheetml/2009/9/main" uri="{CCE6A557-97BC-4b89-ADB6-D9C93CAAB3DF}">
      <x14:dataValidations xmlns:xm="http://schemas.microsoft.com/office/excel/2006/main" count="4">
        <x14:dataValidation type="list" errorStyle="warning" allowBlank="1" showInputMessage="1" showErrorMessage="1" xr:uid="{00000000-0002-0000-0100-000000000000}">
          <x14:formula1>
            <xm:f>FR_Définitions!$C$44:$C$54</xm:f>
          </x14:formula1>
          <xm:sqref>V60 V37:V40 V17:V30 V32:V33 V68:V82 V42:V44 V46:V57 V7:V9 V11:V12 V86</xm:sqref>
        </x14:dataValidation>
        <x14:dataValidation type="list" errorStyle="warning" allowBlank="1" showInputMessage="1" showErrorMessage="1" xr:uid="{00000000-0002-0000-0100-000001000000}">
          <x14:formula1>
            <xm:f>FR_Définitions!$C$58:$C$63</xm:f>
          </x14:formula1>
          <xm:sqref>Y60 Y32:Y33 Y26:Y30 Y17:Y21 AB18:AB19 Y42:Y43 Y68 Y37:Y40 Y77:Y82 Y70:Y75 Y51:Y57 Y7:Y12 Y86</xm:sqref>
        </x14:dataValidation>
        <x14:dataValidation type="list" errorStyle="warning" allowBlank="1" showInputMessage="1" showErrorMessage="1" xr:uid="{00000000-0002-0000-0100-000002000000}">
          <x14:formula1>
            <xm:f>FR_Définitions!$C$67:$C$76</xm:f>
          </x14:formula1>
          <xm:sqref>W60 W37:W40 W17:W21 W26:W30 W32:W33 W68:W74 W76:W82 W42:W44 W46:W57 W7:W12 W86</xm:sqref>
        </x14:dataValidation>
        <x14:dataValidation type="list" allowBlank="1" showInputMessage="1" showErrorMessage="1" xr:uid="{C52AC4B3-4A34-4356-AD49-37F952347194}">
          <x14:formula1>
            <xm:f>'Echelles '!$A$3:$A$6</xm:f>
          </x14:formula1>
          <xm:sqref>AN60:AO60 AW60 BA60 AQ60 AS60 AU60 AY60 BC60 BE60 BG60 AQ40 BA40 AW40 AN40:AO40 BG40 BE40 BC40 AY40 AU40 AY53:AY57 BE20:BE21 BG20:BG21 AN20:AO21 AW20:AW21 BA20:BA21 AQ20:AQ21 AS20:AS21 AU20:AU21 AY20:AY21 BC32:BC33 BE32:BE33 BG32:BG33 AN32:AO33 AW32:AW33 BA32:BA33 AQ32:AQ33 AS32:AS33 AU32:AU33 BG78:BG82 BC68 BE68 BG68 AN68:AO68 AW68 BA68 AQ68 AS68 AU68 AY68 AN78:AO82 AW78:AW82 BA78:BA82 AQ78:AQ82 AS78:AS82 AU78:AU82 AY78:AY82 BC78:BC82 AS50:AS51 AS26:AS30 BC20:BC21 AY32:AY33 BC53:BC57 BE53:BE57 BG53:BG57 AN53:AO57 AW53:AW57 BA53:BA57 AQ53:AQ57 AS53:AS57 AS40 AU37:AU38 AY37:AY38 BC37:BC38 BE37:BE38 BG37:BG38 AN37:AO38 AW37:AW38 BA37:BA38 AQ37:AQ38 AS37:AS38 AQ50:AQ51 BA50:BA51 AW50:AW51 AN50:AO51 BG50:BG51 BE50:BE51 BC50:BC51 AY50:AY51 AU50:AU51 AU53:AU57 AU42:AU48 AY42:AY48 BC42:BC48 BE42:BE48 BG42:BG48 AN42:AO48 AW42:AW48 BA42:BA48 AQ42:AQ48 AS42:AS48 AS71:AS76 AQ71:AQ76 BA71:BA76 AW71:AW76 AN71:AO76 BG71:BG76 BE71:BE76 BC71:BC76 AY71:AY76 AU71:AU76 AQ26:AQ30 BA26:BA30 AW26:AW30 AN26:AO30 BG26:BG30 BE26:BE30 BC26:BC30 AY26:AY30 AU26:AU30 BE78:BE82 BG7:BG12 BE7:BE12 BC7:BC12 AY7:AY12 AU7:AU12 AS7:AS12 AQ7:AQ12 BA7:BA12 AW7:AW12 AN7:AO12 AS86 AQ86 BA86 AW86 AN86:AO86 BG86 BE86 BC86 AY86 AU86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01E87-C34B-4CCC-8C7B-A5090A189EBE}">
  <dimension ref="A1:E41"/>
  <sheetViews>
    <sheetView topLeftCell="A26" zoomScale="130" zoomScaleNormal="130" workbookViewId="0">
      <selection activeCell="A2" sqref="A2"/>
    </sheetView>
  </sheetViews>
  <sheetFormatPr defaultColWidth="44.85546875" defaultRowHeight="12.75"/>
  <cols>
    <col min="1" max="1" width="89.7109375" customWidth="1"/>
    <col min="2" max="2" width="35.42578125" customWidth="1"/>
    <col min="3" max="3" width="41.140625" style="150" customWidth="1"/>
    <col min="4" max="4" width="52.140625" style="150" customWidth="1"/>
    <col min="5" max="5" width="68" customWidth="1"/>
  </cols>
  <sheetData>
    <row r="1" spans="1:5" ht="14.25">
      <c r="A1" s="141" t="s">
        <v>1014</v>
      </c>
      <c r="B1" s="142" t="s">
        <v>1015</v>
      </c>
      <c r="C1" s="149" t="s">
        <v>1016</v>
      </c>
      <c r="D1" s="149" t="s">
        <v>1017</v>
      </c>
      <c r="E1" s="142" t="s">
        <v>1018</v>
      </c>
    </row>
    <row r="2" spans="1:5" ht="15.75" thickBot="1">
      <c r="A2" s="57" t="s">
        <v>134</v>
      </c>
      <c r="B2" t="s">
        <v>1019</v>
      </c>
      <c r="C2" s="150" t="str">
        <f>VLOOKUP(B2,Mapping_Registre_bdd!A$2:B$41,2)</f>
        <v>boolean NULL</v>
      </c>
    </row>
    <row r="3" spans="1:5" ht="16.5" thickTop="1" thickBot="1">
      <c r="A3" s="57" t="s">
        <v>44</v>
      </c>
      <c r="B3" t="s">
        <v>1020</v>
      </c>
      <c r="C3" s="150" t="str">
        <f>VLOOKUP(B3,Mapping_Registre_bdd!A$2:B$41,2)</f>
        <v>character varying(255) NULL</v>
      </c>
    </row>
    <row r="4" spans="1:5" ht="16.5" thickTop="1" thickBot="1">
      <c r="A4" s="57" t="s">
        <v>58</v>
      </c>
      <c r="B4" t="s">
        <v>1021</v>
      </c>
      <c r="C4" s="150" t="str">
        <f>VLOOKUP(B4,Mapping_Registre_bdd!A$2:B$41,2)</f>
        <v>text NULL</v>
      </c>
    </row>
    <row r="5" spans="1:5" ht="16.5" thickTop="1" thickBot="1">
      <c r="A5" s="55" t="s">
        <v>27</v>
      </c>
      <c r="B5" t="s">
        <v>1022</v>
      </c>
      <c r="C5" s="150" t="str">
        <f>VLOOKUP(B5,Mapping_Registre_bdd!A$2:B$41,2)</f>
        <v>character varying(255) NULL</v>
      </c>
    </row>
    <row r="6" spans="1:5" ht="16.5" thickTop="1" thickBot="1">
      <c r="A6" s="56" t="s">
        <v>127</v>
      </c>
      <c r="B6" t="s">
        <v>1023</v>
      </c>
      <c r="C6" s="150" t="str">
        <f>VLOOKUP(B6,Mapping_Registre_bdd!A$2:B$41,2)</f>
        <v>text NULL</v>
      </c>
    </row>
    <row r="7" spans="1:5" ht="16.5" thickTop="1" thickBot="1">
      <c r="A7" s="58" t="s">
        <v>137</v>
      </c>
      <c r="B7" t="s">
        <v>1024</v>
      </c>
      <c r="C7" s="150" t="str">
        <f>VLOOKUP(B7,Mapping_Registre_bdd!A$2:B$41,2)</f>
        <v>text NULL</v>
      </c>
    </row>
    <row r="8" spans="1:5" ht="16.5" thickTop="1" thickBot="1">
      <c r="A8" s="53" t="s">
        <v>14</v>
      </c>
      <c r="B8" t="s">
        <v>1025</v>
      </c>
      <c r="C8" s="150" t="str">
        <f>VLOOKUP(B8,Mapping_Registre_bdd!A$2:B$41,2)</f>
        <v>character varying(255) NULL</v>
      </c>
    </row>
    <row r="9" spans="1:5" ht="65.25" thickTop="1" thickBot="1">
      <c r="A9" s="53" t="s">
        <v>10</v>
      </c>
      <c r="B9" t="s">
        <v>1026</v>
      </c>
      <c r="C9" s="150" t="str">
        <f>VLOOKUP(B9,Mapping_Registre_bdd!A$2:B$41,2)</f>
        <v>date NULL</v>
      </c>
      <c r="D9" s="154" t="s">
        <v>1027</v>
      </c>
      <c r="E9" s="7" t="s">
        <v>1028</v>
      </c>
    </row>
    <row r="10" spans="1:5" ht="16.5" thickTop="1" thickBot="1">
      <c r="A10" s="53" t="s">
        <v>8</v>
      </c>
      <c r="B10" t="s">
        <v>1029</v>
      </c>
      <c r="C10" s="150" t="str">
        <f>VLOOKUP(B10,Mapping_Registre_bdd!A$2:B$41,2)</f>
        <v>date</v>
      </c>
    </row>
    <row r="11" spans="1:5" ht="15" customHeight="1" thickTop="1" thickBot="1">
      <c r="A11" s="58" t="s">
        <v>52</v>
      </c>
      <c r="B11" t="s">
        <v>1030</v>
      </c>
      <c r="C11" s="150" t="str">
        <f>VLOOKUP(B11,Mapping_Registre_bdd!A$2:B$41,2)</f>
        <v>text NULL</v>
      </c>
    </row>
    <row r="12" spans="1:5" ht="16.5" thickTop="1" thickBot="1">
      <c r="A12" s="57" t="s">
        <v>52</v>
      </c>
      <c r="B12" t="s">
        <v>1031</v>
      </c>
      <c r="C12" s="150" t="str">
        <f>VLOOKUP(B12,Mapping_Registre_bdd!A$2:B$41,2)</f>
        <v>text NULL</v>
      </c>
    </row>
    <row r="13" spans="1:5" ht="16.5" thickTop="1" thickBot="1">
      <c r="A13" s="54" t="s">
        <v>124</v>
      </c>
      <c r="B13" t="s">
        <v>1032</v>
      </c>
      <c r="C13" s="150" t="str">
        <f>VLOOKUP(B13,Mapping_Registre_bdd!A$2:B$41,2)</f>
        <v>text NULL</v>
      </c>
    </row>
    <row r="14" spans="1:5" ht="16.5" thickTop="1" thickBot="1">
      <c r="A14" s="55" t="s">
        <v>31</v>
      </c>
      <c r="B14" t="s">
        <v>1033</v>
      </c>
      <c r="C14" s="150" t="str">
        <f>VLOOKUP(B14,Mapping_Registre_bdd!A$2:B$41,2)</f>
        <v>character varying(255) NULL</v>
      </c>
    </row>
    <row r="15" spans="1:5" ht="16.5" thickTop="1" thickBot="1">
      <c r="A15" s="56" t="s">
        <v>33</v>
      </c>
      <c r="B15" t="s">
        <v>1034</v>
      </c>
      <c r="C15" s="150" t="str">
        <f>VLOOKUP(B15,Mapping_Registre_bdd!A$2:B$41,2)</f>
        <v>character varying(255) NULL</v>
      </c>
    </row>
    <row r="16" spans="1:5" ht="16.5" thickTop="1" thickBot="1">
      <c r="A16" s="56" t="s">
        <v>29</v>
      </c>
      <c r="B16" t="s">
        <v>1035</v>
      </c>
      <c r="C16" s="150" t="str">
        <f>VLOOKUP(B16,Mapping_Registre_bdd!A$2:B$41,2)</f>
        <v>text NULL</v>
      </c>
    </row>
    <row r="17" spans="1:5" ht="16.5" thickTop="1" thickBot="1">
      <c r="A17" s="56" t="s">
        <v>37</v>
      </c>
      <c r="B17" t="s">
        <v>1036</v>
      </c>
      <c r="C17" s="150" t="str">
        <f>VLOOKUP(B17,Mapping_Registre_bdd!A$2:B$41,2)</f>
        <v>character varying(255) NULL</v>
      </c>
    </row>
    <row r="18" spans="1:5" ht="16.5" thickTop="1" thickBot="1">
      <c r="A18" s="56" t="s">
        <v>39</v>
      </c>
      <c r="B18" t="s">
        <v>1037</v>
      </c>
      <c r="C18" s="150" t="str">
        <f>VLOOKUP(B18,Mapping_Registre_bdd!A$2:B$41,2)</f>
        <v>character varying(255) NULL</v>
      </c>
    </row>
    <row r="19" spans="1:5" ht="16.5" thickTop="1" thickBot="1">
      <c r="A19" s="56" t="s">
        <v>35</v>
      </c>
      <c r="B19" t="s">
        <v>1038</v>
      </c>
      <c r="C19" s="150" t="str">
        <f>VLOOKUP(B19,Mapping_Registre_bdd!A$2:B$41,2)</f>
        <v>character varying(255) NULL</v>
      </c>
    </row>
    <row r="20" spans="1:5" ht="52.5" thickTop="1" thickBot="1">
      <c r="A20" s="58" t="s">
        <v>135</v>
      </c>
      <c r="B20" t="s">
        <v>1039</v>
      </c>
      <c r="C20" s="152" t="str">
        <f>VLOOKUP(B20,Mapping_Registre_bdd!A$2:B$41,2)</f>
        <v>character varying(255) NULL</v>
      </c>
      <c r="D20" s="155" t="s">
        <v>1040</v>
      </c>
      <c r="E20" t="s">
        <v>1041</v>
      </c>
    </row>
    <row r="21" spans="1:5" ht="52.5" thickTop="1" thickBot="1">
      <c r="A21" s="58" t="s">
        <v>133</v>
      </c>
      <c r="B21" t="s">
        <v>1042</v>
      </c>
      <c r="C21" s="150" t="str">
        <f>VLOOKUP(B21,Mapping_Registre_bdd!A$2:B$41,2)</f>
        <v>character varying(255) NULL</v>
      </c>
      <c r="D21" s="155" t="s">
        <v>1040</v>
      </c>
      <c r="E21" t="s">
        <v>1041</v>
      </c>
    </row>
    <row r="22" spans="1:5" ht="16.5" thickTop="1" thickBot="1">
      <c r="A22" s="58" t="s">
        <v>131</v>
      </c>
      <c r="B22" t="s">
        <v>1043</v>
      </c>
      <c r="C22" s="150" t="str">
        <f>VLOOKUP(B22,Mapping_Registre_bdd!A$2:B$41,2)</f>
        <v>text NULL</v>
      </c>
    </row>
    <row r="23" spans="1:5" ht="16.5" thickTop="1" thickBot="1">
      <c r="A23" s="151" t="s">
        <v>130</v>
      </c>
      <c r="B23" t="s">
        <v>1044</v>
      </c>
      <c r="C23" s="150" t="str">
        <f>VLOOKUP(B23,Mapping_Registre_bdd!A$2:B$41,2)</f>
        <v>text NULL</v>
      </c>
    </row>
    <row r="24" spans="1:5" ht="16.5" thickTop="1" thickBot="1">
      <c r="A24" s="52" t="s">
        <v>4</v>
      </c>
      <c r="C24" s="153" t="e">
        <f>VLOOKUP(B24,Mapping_Registre_bdd!A$2:B$41,2)</f>
        <v>#N/A</v>
      </c>
      <c r="D24" s="153"/>
      <c r="E24" s="148" t="s">
        <v>1045</v>
      </c>
    </row>
    <row r="25" spans="1:5" ht="78" thickTop="1" thickBot="1">
      <c r="A25" s="56" t="s">
        <v>128</v>
      </c>
      <c r="B25" t="s">
        <v>1046</v>
      </c>
      <c r="C25" s="150" t="str">
        <f>VLOOKUP(B25,Mapping_Registre_bdd!A$2:B$41,2)</f>
        <v>character varying(255) NULL</v>
      </c>
      <c r="D25" s="154" t="s">
        <v>1047</v>
      </c>
      <c r="E25" t="s">
        <v>1048</v>
      </c>
    </row>
    <row r="26" spans="1:5" ht="78" thickTop="1" thickBot="1">
      <c r="A26" s="53" t="s">
        <v>22</v>
      </c>
      <c r="B26" t="s">
        <v>1049</v>
      </c>
      <c r="C26" s="150" t="str">
        <f>VLOOKUP(B26,Mapping_Registre_bdd!A$2:B$41,2)</f>
        <v>character varying(255) NULL</v>
      </c>
      <c r="D26" s="154" t="s">
        <v>1047</v>
      </c>
      <c r="E26" t="s">
        <v>1041</v>
      </c>
    </row>
    <row r="27" spans="1:5" ht="16.5" thickTop="1" thickBot="1">
      <c r="A27" s="53" t="s">
        <v>126</v>
      </c>
      <c r="B27" t="s">
        <v>1050</v>
      </c>
      <c r="C27" s="150" t="str">
        <f>VLOOKUP(B27,Mapping_Registre_bdd!A$2:B$41,2)</f>
        <v>character varying(255) NULL</v>
      </c>
    </row>
    <row r="28" spans="1:5" ht="16.5" thickTop="1" thickBot="1">
      <c r="A28" s="58" t="s">
        <v>132</v>
      </c>
      <c r="B28" t="s">
        <v>1051</v>
      </c>
      <c r="C28" s="150" t="str">
        <f>VLOOKUP(B28,Mapping_Registre_bdd!A$2:B$41,2)</f>
        <v>character varying(255) NULL</v>
      </c>
    </row>
    <row r="29" spans="1:5" ht="16.5" thickTop="1" thickBot="1">
      <c r="A29" s="53" t="s">
        <v>125</v>
      </c>
      <c r="B29" t="s">
        <v>1052</v>
      </c>
      <c r="C29" s="150" t="str">
        <f>VLOOKUP(B29,Mapping_Registre_bdd!A$2:B$41,2)</f>
        <v>text NULL</v>
      </c>
      <c r="E29" t="s">
        <v>1053</v>
      </c>
    </row>
    <row r="30" spans="1:5" ht="16.5" thickTop="1" thickBot="1">
      <c r="A30" s="53" t="s">
        <v>2</v>
      </c>
      <c r="C30" s="150" t="e">
        <f>VLOOKUP(B30,Mapping_Registre_bdd!#REF!,2)</f>
        <v>#REF!</v>
      </c>
    </row>
    <row r="31" spans="1:5" ht="27" thickTop="1" thickBot="1">
      <c r="A31" s="58" t="s">
        <v>46</v>
      </c>
      <c r="B31" t="s">
        <v>1054</v>
      </c>
      <c r="C31" s="150" t="str">
        <f>VLOOKUP(B31,Mapping_Registre_bdd!A$2:B$41,2)</f>
        <v>character varying(255) NULL</v>
      </c>
      <c r="D31" s="154" t="s">
        <v>1055</v>
      </c>
      <c r="E31" t="s">
        <v>1048</v>
      </c>
    </row>
    <row r="32" spans="1:5" ht="16.5" thickTop="1" thickBot="1">
      <c r="A32" s="53" t="s">
        <v>6</v>
      </c>
      <c r="B32" t="s">
        <v>1056</v>
      </c>
      <c r="C32" s="150" t="str">
        <f>VLOOKUP(B32,Mapping_Registre_bdd!A$2:B$41,2)</f>
        <v>character varying(255)</v>
      </c>
    </row>
    <row r="33" spans="1:5" ht="16.5" thickTop="1" thickBot="1">
      <c r="A33" s="58" t="s">
        <v>64</v>
      </c>
      <c r="B33" t="s">
        <v>1057</v>
      </c>
      <c r="C33" s="150" t="str">
        <f>VLOOKUP(B33,Mapping_Registre_bdd!A$2:B$41,2)</f>
        <v>character varying(255) NULL</v>
      </c>
    </row>
    <row r="34" spans="1:5" ht="16.5" thickTop="1" thickBot="1">
      <c r="A34" s="58" t="s">
        <v>60</v>
      </c>
      <c r="B34" t="s">
        <v>1058</v>
      </c>
      <c r="C34" s="150" t="str">
        <f>VLOOKUP(B34,Mapping_Registre_bdd!A$2:B$41,2)</f>
        <v>text NULL</v>
      </c>
      <c r="E34" t="s">
        <v>1059</v>
      </c>
    </row>
    <row r="35" spans="1:5" ht="16.5" thickTop="1" thickBot="1">
      <c r="A35" s="58" t="s">
        <v>129</v>
      </c>
      <c r="B35" t="s">
        <v>1060</v>
      </c>
      <c r="C35" s="150" t="str">
        <f>VLOOKUP(B35,Mapping_Registre_bdd!A$2:B$41,2)</f>
        <v>boolean NULL</v>
      </c>
    </row>
    <row r="36" spans="1:5" ht="16.5" thickTop="1" thickBot="1">
      <c r="A36" s="53" t="s">
        <v>16</v>
      </c>
      <c r="B36" t="s">
        <v>1061</v>
      </c>
      <c r="C36" s="150" t="str">
        <f>VLOOKUP(B36,Mapping_Registre_bdd!A$2:B$41,2)</f>
        <v>character varying(255) NULL</v>
      </c>
      <c r="D36" s="150" t="s">
        <v>1062</v>
      </c>
      <c r="E36" t="s">
        <v>1041</v>
      </c>
    </row>
    <row r="37" spans="1:5" ht="16.5" thickTop="1" thickBot="1">
      <c r="A37" s="56" t="s">
        <v>100</v>
      </c>
      <c r="B37" t="s">
        <v>1063</v>
      </c>
      <c r="C37" s="150" t="str">
        <f>VLOOKUP(B37,Mapping_Registre_bdd!A$2:B$41,2)</f>
        <v>character varying(255) NULL</v>
      </c>
      <c r="D37" s="150" t="s">
        <v>1064</v>
      </c>
      <c r="E37" t="s">
        <v>1048</v>
      </c>
    </row>
    <row r="38" spans="1:5" ht="16.5" thickTop="1" thickBot="1">
      <c r="A38" s="53" t="s">
        <v>24</v>
      </c>
      <c r="B38" t="s">
        <v>1065</v>
      </c>
      <c r="C38" s="150" t="str">
        <f>VLOOKUP(B38,Mapping_Registre_bdd!A$2:B$41,2)</f>
        <v>text NULL</v>
      </c>
    </row>
    <row r="39" spans="1:5" ht="16.5" thickTop="1" thickBot="1">
      <c r="A39" s="58" t="s">
        <v>136</v>
      </c>
      <c r="B39" t="s">
        <v>1066</v>
      </c>
      <c r="C39" s="150" t="str">
        <f>VLOOKUP(B39,Mapping_Registre_bdd!A$2:B$41,2)</f>
        <v>boolean NULL</v>
      </c>
    </row>
    <row r="40" spans="1:5" ht="26.25" thickTop="1">
      <c r="A40" t="s">
        <v>1067</v>
      </c>
      <c r="B40" s="156" t="s">
        <v>1068</v>
      </c>
      <c r="C40" s="150" t="s">
        <v>1069</v>
      </c>
      <c r="D40" s="157" t="s">
        <v>1070</v>
      </c>
      <c r="E40" s="148" t="s">
        <v>1071</v>
      </c>
    </row>
    <row r="41" spans="1:5" ht="25.5">
      <c r="B41" s="156" t="s">
        <v>1072</v>
      </c>
      <c r="C41" s="150" t="s">
        <v>1073</v>
      </c>
      <c r="D41" s="157" t="s">
        <v>1074</v>
      </c>
      <c r="E41" s="148" t="s">
        <v>1071</v>
      </c>
    </row>
  </sheetData>
  <sortState xmlns:xlrd2="http://schemas.microsoft.com/office/spreadsheetml/2017/richdata2" ref="A2:E40">
    <sortCondition ref="A2:A40"/>
  </sortState>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9C3E116A-5709-4378-A788-90685D87BB5D}">
          <x14:formula1>
            <xm:f>Mapping_Registre_bdd!$A$2:$A$41</xm:f>
          </x14:formula1>
          <xm:sqref>B2:B39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05C39-28F9-4389-9A7B-F9923F096D39}">
  <dimension ref="A1:D41"/>
  <sheetViews>
    <sheetView topLeftCell="A16" workbookViewId="0">
      <selection activeCell="D24" sqref="D24"/>
    </sheetView>
  </sheetViews>
  <sheetFormatPr defaultColWidth="11.42578125" defaultRowHeight="12.75"/>
  <cols>
    <col min="1" max="1" width="40.7109375" customWidth="1"/>
    <col min="2" max="2" width="38.140625" bestFit="1" customWidth="1"/>
    <col min="3" max="3" width="38.28515625" customWidth="1"/>
    <col min="4" max="4" width="60.7109375" bestFit="1" customWidth="1"/>
  </cols>
  <sheetData>
    <row r="1" spans="1:4" ht="14.25">
      <c r="A1" s="141" t="s">
        <v>1075</v>
      </c>
      <c r="B1" s="142" t="s">
        <v>1016</v>
      </c>
      <c r="C1" s="142" t="s">
        <v>1018</v>
      </c>
      <c r="D1" s="142" t="s">
        <v>1076</v>
      </c>
    </row>
    <row r="2" spans="1:4" ht="14.25">
      <c r="A2" s="145" t="s">
        <v>1019</v>
      </c>
      <c r="B2" s="146" t="s">
        <v>1077</v>
      </c>
      <c r="C2" s="146"/>
      <c r="D2" t="s">
        <v>134</v>
      </c>
    </row>
    <row r="3" spans="1:4" ht="14.25">
      <c r="A3" s="145" t="s">
        <v>1020</v>
      </c>
      <c r="B3" s="146" t="s">
        <v>1078</v>
      </c>
      <c r="C3" s="146"/>
      <c r="D3" t="s">
        <v>44</v>
      </c>
    </row>
    <row r="4" spans="1:4" ht="14.25">
      <c r="A4" s="145" t="s">
        <v>1021</v>
      </c>
      <c r="B4" s="146" t="s">
        <v>1079</v>
      </c>
      <c r="C4" s="146"/>
      <c r="D4" t="s">
        <v>58</v>
      </c>
    </row>
    <row r="5" spans="1:4" ht="14.25">
      <c r="A5" s="143" t="s">
        <v>1023</v>
      </c>
      <c r="B5" s="144" t="s">
        <v>1079</v>
      </c>
      <c r="C5" s="144"/>
      <c r="D5" t="s">
        <v>127</v>
      </c>
    </row>
    <row r="6" spans="1:4" ht="14.25">
      <c r="A6" s="145" t="s">
        <v>1022</v>
      </c>
      <c r="B6" s="146" t="s">
        <v>1078</v>
      </c>
      <c r="C6" s="146"/>
      <c r="D6" t="s">
        <v>27</v>
      </c>
    </row>
    <row r="7" spans="1:4" ht="14.25">
      <c r="A7" s="145" t="s">
        <v>1024</v>
      </c>
      <c r="B7" s="146" t="s">
        <v>1079</v>
      </c>
      <c r="C7" s="146"/>
      <c r="D7" t="s">
        <v>137</v>
      </c>
    </row>
    <row r="8" spans="1:4" ht="14.25">
      <c r="A8" s="145" t="s">
        <v>1025</v>
      </c>
      <c r="B8" s="146" t="s">
        <v>1078</v>
      </c>
      <c r="C8" s="146"/>
      <c r="D8" t="s">
        <v>14</v>
      </c>
    </row>
    <row r="9" spans="1:4" ht="14.25">
      <c r="A9" s="143" t="s">
        <v>1029</v>
      </c>
      <c r="B9" s="144" t="s">
        <v>1080</v>
      </c>
      <c r="C9" s="144"/>
      <c r="D9" t="s">
        <v>8</v>
      </c>
    </row>
    <row r="10" spans="1:4" ht="14.25">
      <c r="A10" s="143" t="s">
        <v>1026</v>
      </c>
      <c r="B10" s="144" t="s">
        <v>1081</v>
      </c>
      <c r="C10" s="144"/>
      <c r="D10" t="s">
        <v>10</v>
      </c>
    </row>
    <row r="11" spans="1:4" ht="14.25">
      <c r="A11" s="143" t="s">
        <v>1030</v>
      </c>
      <c r="B11" s="144" t="s">
        <v>1079</v>
      </c>
      <c r="C11" s="144"/>
      <c r="D11" t="s">
        <v>52</v>
      </c>
    </row>
    <row r="12" spans="1:4" ht="14.25">
      <c r="A12" s="145" t="s">
        <v>1031</v>
      </c>
      <c r="B12" s="146" t="s">
        <v>1079</v>
      </c>
      <c r="C12" s="146"/>
      <c r="D12" t="s">
        <v>52</v>
      </c>
    </row>
    <row r="13" spans="1:4" ht="14.25">
      <c r="A13" s="145" t="s">
        <v>1038</v>
      </c>
      <c r="B13" s="146" t="s">
        <v>1078</v>
      </c>
      <c r="C13" s="146"/>
      <c r="D13" t="s">
        <v>35</v>
      </c>
    </row>
    <row r="14" spans="1:4" ht="14.25">
      <c r="A14" s="145" t="s">
        <v>1032</v>
      </c>
      <c r="B14" s="146" t="s">
        <v>1079</v>
      </c>
      <c r="C14" s="147"/>
      <c r="D14" t="s">
        <v>124</v>
      </c>
    </row>
    <row r="15" spans="1:4" ht="14.25">
      <c r="A15" s="145" t="s">
        <v>1033</v>
      </c>
      <c r="B15" s="146" t="s">
        <v>1078</v>
      </c>
      <c r="C15" s="146"/>
      <c r="D15" t="s">
        <v>31</v>
      </c>
    </row>
    <row r="16" spans="1:4" ht="14.25">
      <c r="A16" s="143" t="s">
        <v>1036</v>
      </c>
      <c r="B16" s="144" t="s">
        <v>1078</v>
      </c>
      <c r="C16" s="144"/>
      <c r="D16" t="s">
        <v>37</v>
      </c>
    </row>
    <row r="17" spans="1:4" ht="14.25">
      <c r="A17" s="143" t="s">
        <v>1035</v>
      </c>
      <c r="B17" s="144" t="s">
        <v>1079</v>
      </c>
      <c r="C17" s="144"/>
      <c r="D17" t="s">
        <v>29</v>
      </c>
    </row>
    <row r="18" spans="1:4" ht="14.25">
      <c r="A18" s="143" t="s">
        <v>1034</v>
      </c>
      <c r="B18" s="144" t="s">
        <v>1078</v>
      </c>
      <c r="C18" s="144"/>
      <c r="D18" t="s">
        <v>33</v>
      </c>
    </row>
    <row r="19" spans="1:4" ht="14.25">
      <c r="A19" s="145" t="s">
        <v>1037</v>
      </c>
      <c r="B19" s="146" t="s">
        <v>1078</v>
      </c>
      <c r="C19" s="146"/>
      <c r="D19" t="s">
        <v>39</v>
      </c>
    </row>
    <row r="20" spans="1:4" ht="14.25">
      <c r="A20" s="143" t="s">
        <v>1039</v>
      </c>
      <c r="B20" s="144" t="s">
        <v>1078</v>
      </c>
      <c r="C20" s="144"/>
      <c r="D20" t="s">
        <v>135</v>
      </c>
    </row>
    <row r="21" spans="1:4" ht="14.25">
      <c r="A21" s="143" t="s">
        <v>1042</v>
      </c>
      <c r="B21" s="144" t="s">
        <v>1078</v>
      </c>
      <c r="C21" s="144"/>
      <c r="D21" t="s">
        <v>133</v>
      </c>
    </row>
    <row r="22" spans="1:4" ht="14.25">
      <c r="A22" s="143" t="s">
        <v>1043</v>
      </c>
      <c r="B22" s="144" t="s">
        <v>1079</v>
      </c>
      <c r="C22" s="144"/>
      <c r="D22" t="s">
        <v>131</v>
      </c>
    </row>
    <row r="23" spans="1:4" ht="14.25">
      <c r="A23" s="143" t="s">
        <v>1044</v>
      </c>
      <c r="B23" s="144" t="s">
        <v>1079</v>
      </c>
      <c r="C23" s="144"/>
      <c r="D23" t="s">
        <v>130</v>
      </c>
    </row>
    <row r="24" spans="1:4" ht="14.25">
      <c r="A24" s="143" t="s">
        <v>1046</v>
      </c>
      <c r="B24" s="144" t="s">
        <v>1078</v>
      </c>
      <c r="C24" s="144"/>
      <c r="D24" t="s">
        <v>128</v>
      </c>
    </row>
    <row r="25" spans="1:4" ht="14.25">
      <c r="A25" s="145" t="s">
        <v>1049</v>
      </c>
      <c r="B25" s="146" t="s">
        <v>1078</v>
      </c>
      <c r="C25" s="146"/>
      <c r="D25" t="s">
        <v>22</v>
      </c>
    </row>
    <row r="26" spans="1:4" ht="14.25">
      <c r="A26" s="145" t="s">
        <v>1050</v>
      </c>
      <c r="B26" s="146" t="s">
        <v>1078</v>
      </c>
      <c r="C26" s="146"/>
      <c r="D26" t="s">
        <v>126</v>
      </c>
    </row>
    <row r="27" spans="1:4" ht="14.25">
      <c r="A27" s="145" t="s">
        <v>1051</v>
      </c>
      <c r="B27" s="146" t="s">
        <v>1078</v>
      </c>
      <c r="C27" s="146"/>
      <c r="D27" t="s">
        <v>132</v>
      </c>
    </row>
    <row r="28" spans="1:4" ht="14.25">
      <c r="A28" s="143" t="s">
        <v>1052</v>
      </c>
      <c r="B28" s="144" t="s">
        <v>1079</v>
      </c>
      <c r="C28" s="144"/>
      <c r="D28" t="s">
        <v>125</v>
      </c>
    </row>
    <row r="29" spans="1:4" ht="14.25">
      <c r="A29" s="143" t="s">
        <v>1082</v>
      </c>
      <c r="B29" s="144" t="s">
        <v>1083</v>
      </c>
      <c r="C29" s="144"/>
    </row>
    <row r="30" spans="1:4" ht="28.5">
      <c r="A30" s="145" t="s">
        <v>1084</v>
      </c>
      <c r="B30" s="146" t="s">
        <v>1085</v>
      </c>
      <c r="C30" s="146"/>
    </row>
    <row r="31" spans="1:4" ht="14.25">
      <c r="A31" s="143" t="s">
        <v>1086</v>
      </c>
      <c r="B31" s="144" t="s">
        <v>1083</v>
      </c>
      <c r="C31" s="144"/>
      <c r="D31" t="s">
        <v>2</v>
      </c>
    </row>
    <row r="32" spans="1:4" ht="14.25">
      <c r="A32" s="143" t="s">
        <v>1054</v>
      </c>
      <c r="B32" s="144" t="s">
        <v>1078</v>
      </c>
      <c r="C32" s="144"/>
      <c r="D32" t="s">
        <v>46</v>
      </c>
    </row>
    <row r="33" spans="1:4" ht="14.25">
      <c r="A33" s="143" t="s">
        <v>1056</v>
      </c>
      <c r="B33" s="144" t="s">
        <v>1087</v>
      </c>
      <c r="C33" s="144"/>
      <c r="D33" t="s">
        <v>6</v>
      </c>
    </row>
    <row r="34" spans="1:4" ht="14.25">
      <c r="A34" s="143" t="s">
        <v>1057</v>
      </c>
      <c r="B34" s="144" t="s">
        <v>1078</v>
      </c>
      <c r="C34" s="144"/>
      <c r="D34" t="s">
        <v>64</v>
      </c>
    </row>
    <row r="35" spans="1:4" ht="14.25">
      <c r="A35" s="143" t="s">
        <v>1058</v>
      </c>
      <c r="B35" s="144" t="s">
        <v>1079</v>
      </c>
      <c r="C35" s="144"/>
      <c r="D35" t="s">
        <v>60</v>
      </c>
    </row>
    <row r="36" spans="1:4" ht="14.25">
      <c r="A36" s="145" t="s">
        <v>1060</v>
      </c>
      <c r="B36" s="146" t="s">
        <v>1077</v>
      </c>
      <c r="C36" s="146"/>
      <c r="D36" t="s">
        <v>129</v>
      </c>
    </row>
    <row r="37" spans="1:4" ht="14.25">
      <c r="A37" s="143" t="s">
        <v>1061</v>
      </c>
      <c r="B37" s="144" t="s">
        <v>1078</v>
      </c>
      <c r="C37" s="144"/>
      <c r="D37" t="s">
        <v>16</v>
      </c>
    </row>
    <row r="38" spans="1:4" ht="14.25">
      <c r="A38" s="145" t="s">
        <v>1063</v>
      </c>
      <c r="B38" s="146" t="s">
        <v>1078</v>
      </c>
      <c r="C38" s="146"/>
      <c r="D38" t="s">
        <v>100</v>
      </c>
    </row>
    <row r="39" spans="1:4" ht="14.25">
      <c r="A39" s="143" t="s">
        <v>1065</v>
      </c>
      <c r="B39" s="144" t="s">
        <v>1079</v>
      </c>
      <c r="C39" s="144"/>
      <c r="D39" t="s">
        <v>24</v>
      </c>
    </row>
    <row r="40" spans="1:4" ht="14.25">
      <c r="A40" s="145" t="s">
        <v>1066</v>
      </c>
      <c r="B40" s="146" t="s">
        <v>1077</v>
      </c>
      <c r="C40" s="146"/>
      <c r="D40" t="s">
        <v>136</v>
      </c>
    </row>
    <row r="41" spans="1:4" ht="14.25">
      <c r="A41" s="145" t="s">
        <v>1088</v>
      </c>
      <c r="B41" s="146" t="s">
        <v>1089</v>
      </c>
      <c r="C41" s="146"/>
    </row>
  </sheetData>
  <sortState xmlns:xlrd2="http://schemas.microsoft.com/office/spreadsheetml/2017/richdata2" ref="A2:D41">
    <sortCondition ref="A2:A41"/>
  </sortState>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DEE2324-8A9F-4655-9F17-35E9C7920DDB}">
          <x14:formula1>
            <xm:f>'Registre de traitement'!$B$6:$AM$6</xm:f>
          </x14:formula1>
          <xm:sqref>D2:D41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43D71-ADE9-426D-8E85-6A9F72C61C0D}">
  <sheetPr>
    <pageSetUpPr fitToPage="1"/>
  </sheetPr>
  <dimension ref="A1:IV13"/>
  <sheetViews>
    <sheetView showGridLines="0" workbookViewId="0">
      <selection activeCell="B30" sqref="B30"/>
    </sheetView>
  </sheetViews>
  <sheetFormatPr defaultColWidth="11.42578125" defaultRowHeight="12.75"/>
  <cols>
    <col min="1" max="1" width="2.7109375" style="17" customWidth="1"/>
    <col min="2" max="2" width="73.140625" style="17" bestFit="1" customWidth="1"/>
    <col min="3" max="3" width="51" style="17" bestFit="1" customWidth="1"/>
    <col min="4" max="5" width="11.42578125" style="19" customWidth="1"/>
    <col min="6" max="6" width="110.7109375" style="19" bestFit="1" customWidth="1"/>
    <col min="7" max="256" width="11.42578125" style="1" customWidth="1"/>
  </cols>
  <sheetData>
    <row r="1" spans="1:5" ht="13.5" thickBot="1">
      <c r="A1" s="22"/>
      <c r="B1" s="20"/>
      <c r="C1" s="15"/>
      <c r="D1" s="18"/>
      <c r="E1" s="18"/>
    </row>
    <row r="2" spans="1:5" ht="36" customHeight="1" thickBot="1">
      <c r="A2" s="22"/>
      <c r="B2" s="176" t="s">
        <v>1090</v>
      </c>
      <c r="C2" s="177"/>
      <c r="D2" s="18"/>
      <c r="E2" s="18"/>
    </row>
    <row r="3" spans="1:5" ht="18">
      <c r="A3" s="22"/>
      <c r="B3" s="21"/>
      <c r="C3" s="16"/>
      <c r="D3" s="18"/>
      <c r="E3" s="18"/>
    </row>
    <row r="4" spans="1:5" ht="15.75">
      <c r="A4" s="22"/>
      <c r="B4" s="170" t="s">
        <v>1091</v>
      </c>
      <c r="C4" s="171"/>
      <c r="D4" s="18"/>
      <c r="E4" s="18"/>
    </row>
    <row r="5" spans="1:5">
      <c r="A5" s="22"/>
      <c r="B5" s="129" t="s">
        <v>1092</v>
      </c>
      <c r="C5" s="25" t="s">
        <v>1093</v>
      </c>
      <c r="D5" s="18"/>
      <c r="E5" s="18"/>
    </row>
    <row r="6" spans="1:5">
      <c r="A6" s="22"/>
      <c r="B6" s="129" t="s">
        <v>1094</v>
      </c>
      <c r="C6" s="25" t="s">
        <v>196</v>
      </c>
      <c r="D6" s="18"/>
      <c r="E6" s="18"/>
    </row>
    <row r="7" spans="1:5">
      <c r="A7" s="22"/>
      <c r="B7" s="129" t="s">
        <v>1095</v>
      </c>
      <c r="C7" s="25" t="s">
        <v>1096</v>
      </c>
      <c r="D7" s="18"/>
      <c r="E7" s="18"/>
    </row>
    <row r="8" spans="1:5">
      <c r="A8" s="22"/>
      <c r="B8" s="129" t="s">
        <v>1097</v>
      </c>
      <c r="C8" s="25" t="s">
        <v>1098</v>
      </c>
      <c r="D8" s="18"/>
      <c r="E8" s="18"/>
    </row>
    <row r="9" spans="1:5">
      <c r="A9" s="22"/>
      <c r="B9" s="129" t="s">
        <v>1099</v>
      </c>
      <c r="C9" s="25" t="s">
        <v>196</v>
      </c>
      <c r="D9" s="18"/>
      <c r="E9" s="18"/>
    </row>
    <row r="10" spans="1:5">
      <c r="A10" s="22"/>
      <c r="B10" s="129" t="s">
        <v>1100</v>
      </c>
      <c r="C10" s="25" t="s">
        <v>196</v>
      </c>
      <c r="D10" s="18"/>
      <c r="E10" s="18"/>
    </row>
    <row r="11" spans="1:5">
      <c r="A11" s="22"/>
      <c r="B11" s="129" t="s">
        <v>1101</v>
      </c>
      <c r="C11" s="25" t="s">
        <v>196</v>
      </c>
      <c r="D11" s="18"/>
      <c r="E11" s="18"/>
    </row>
    <row r="12" spans="1:5">
      <c r="A12" s="22"/>
      <c r="B12" s="129" t="s">
        <v>1102</v>
      </c>
      <c r="C12" s="25" t="s">
        <v>196</v>
      </c>
      <c r="D12" s="18"/>
      <c r="E12" s="18"/>
    </row>
    <row r="13" spans="1:5">
      <c r="A13" s="22"/>
      <c r="B13" s="129" t="s">
        <v>1103</v>
      </c>
      <c r="C13" s="25" t="s">
        <v>196</v>
      </c>
      <c r="D13" s="18"/>
      <c r="E13" s="18"/>
    </row>
  </sheetData>
  <mergeCells count="2">
    <mergeCell ref="B2:C2"/>
    <mergeCell ref="B4:C4"/>
  </mergeCells>
  <pageMargins left="0.7" right="0.7" top="0.75" bottom="0.75" header="0.3" footer="0.3"/>
  <pageSetup scale="41" orientation="landscape" r:id="rId1"/>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3">
    <pageSetUpPr fitToPage="1"/>
  </sheetPr>
  <dimension ref="A1:L24"/>
  <sheetViews>
    <sheetView showGridLines="0" workbookViewId="0">
      <selection activeCell="A5" sqref="A5"/>
    </sheetView>
  </sheetViews>
  <sheetFormatPr defaultColWidth="11.42578125" defaultRowHeight="12.75"/>
  <cols>
    <col min="1" max="1" width="28.7109375" style="76" bestFit="1" customWidth="1"/>
    <col min="2" max="2" width="14.85546875" style="77" customWidth="1"/>
    <col min="3" max="3" width="21.5703125" style="77" bestFit="1" customWidth="1"/>
    <col min="4" max="4" width="21.42578125" style="77" customWidth="1"/>
    <col min="5" max="5" width="22.5703125" style="77" customWidth="1"/>
    <col min="6" max="6" width="29.140625" style="77" customWidth="1"/>
    <col min="7" max="7" width="27.85546875" style="77" bestFit="1" customWidth="1"/>
    <col min="8" max="8" width="21.140625" style="77" bestFit="1" customWidth="1"/>
    <col min="9" max="9" width="18.5703125" style="77" bestFit="1" customWidth="1"/>
    <col min="10" max="16384" width="11.42578125" style="77"/>
  </cols>
  <sheetData>
    <row r="1" spans="1:12" ht="18">
      <c r="A1" s="118" t="s">
        <v>1104</v>
      </c>
      <c r="B1" s="118"/>
      <c r="C1" s="118"/>
      <c r="D1" s="118"/>
      <c r="E1" s="118"/>
      <c r="F1" s="118"/>
      <c r="G1" s="118"/>
      <c r="H1" s="118"/>
      <c r="I1" s="118"/>
    </row>
    <row r="4" spans="1:12">
      <c r="A4" s="76" t="s">
        <v>1105</v>
      </c>
      <c r="B4" s="77" t="s">
        <v>1106</v>
      </c>
      <c r="C4" s="77" t="s">
        <v>1107</v>
      </c>
      <c r="D4" s="77" t="s">
        <v>1108</v>
      </c>
      <c r="E4" s="77" t="s">
        <v>1109</v>
      </c>
      <c r="F4" s="77" t="s">
        <v>1110</v>
      </c>
      <c r="G4" s="78" t="s">
        <v>1111</v>
      </c>
      <c r="H4" s="77" t="s">
        <v>1112</v>
      </c>
      <c r="I4" s="77" t="s">
        <v>1113</v>
      </c>
      <c r="J4" s="77" t="s">
        <v>1114</v>
      </c>
      <c r="K4" s="77" t="s">
        <v>1115</v>
      </c>
      <c r="L4" s="77" t="s">
        <v>137</v>
      </c>
    </row>
    <row r="5" spans="1:12">
      <c r="A5" s="75" t="s">
        <v>1116</v>
      </c>
      <c r="B5" s="119"/>
      <c r="C5" s="80" t="s">
        <v>1117</v>
      </c>
      <c r="D5" s="80" t="s">
        <v>1118</v>
      </c>
      <c r="E5" s="80" t="s">
        <v>1119</v>
      </c>
      <c r="F5" s="80" t="s">
        <v>1120</v>
      </c>
      <c r="G5" s="77" t="s">
        <v>1121</v>
      </c>
      <c r="H5" s="78" t="s">
        <v>1122</v>
      </c>
      <c r="I5" s="78"/>
      <c r="L5" s="80" t="s">
        <v>1123</v>
      </c>
    </row>
    <row r="6" spans="1:12">
      <c r="A6" s="75" t="s">
        <v>227</v>
      </c>
      <c r="B6" s="75"/>
      <c r="C6" s="77" t="s">
        <v>1124</v>
      </c>
      <c r="D6" s="77" t="s">
        <v>1125</v>
      </c>
      <c r="E6" s="77" t="s">
        <v>1126</v>
      </c>
      <c r="F6" s="77" t="s">
        <v>1127</v>
      </c>
      <c r="G6" s="78" t="s">
        <v>226</v>
      </c>
      <c r="H6" s="78" t="s">
        <v>878</v>
      </c>
      <c r="I6" s="120"/>
      <c r="K6" s="78"/>
      <c r="L6" s="80" t="s">
        <v>1128</v>
      </c>
    </row>
    <row r="7" spans="1:12">
      <c r="A7" s="75" t="s">
        <v>1129</v>
      </c>
      <c r="B7" s="121"/>
      <c r="C7" s="80" t="s">
        <v>1130</v>
      </c>
      <c r="D7" s="80" t="s">
        <v>1131</v>
      </c>
      <c r="E7" s="80" t="s">
        <v>1132</v>
      </c>
      <c r="F7" s="80" t="s">
        <v>1133</v>
      </c>
      <c r="G7" s="80" t="s">
        <v>1134</v>
      </c>
      <c r="H7" s="77" t="s">
        <v>449</v>
      </c>
      <c r="K7" s="78"/>
      <c r="L7" s="80" t="s">
        <v>1135</v>
      </c>
    </row>
    <row r="8" spans="1:12">
      <c r="A8" s="76" t="s">
        <v>1136</v>
      </c>
      <c r="C8" s="77" t="s">
        <v>1137</v>
      </c>
      <c r="D8" s="77" t="s">
        <v>1138</v>
      </c>
      <c r="E8" s="77" t="s">
        <v>1139</v>
      </c>
      <c r="F8" s="77" t="s">
        <v>1140</v>
      </c>
      <c r="H8" s="75" t="s">
        <v>1122</v>
      </c>
      <c r="I8" s="122"/>
      <c r="J8" s="76"/>
      <c r="K8" s="79"/>
      <c r="L8" s="123" t="s">
        <v>1141</v>
      </c>
    </row>
    <row r="9" spans="1:12">
      <c r="A9" s="76" t="s">
        <v>1142</v>
      </c>
      <c r="C9" s="77" t="s">
        <v>1143</v>
      </c>
      <c r="D9" s="77" t="s">
        <v>1144</v>
      </c>
      <c r="E9" s="77" t="s">
        <v>1145</v>
      </c>
      <c r="F9" s="77" t="s">
        <v>1146</v>
      </c>
      <c r="H9" s="75" t="s">
        <v>1122</v>
      </c>
      <c r="I9" s="122"/>
      <c r="J9" s="76"/>
      <c r="K9" s="79"/>
      <c r="L9" s="80" t="s">
        <v>1123</v>
      </c>
    </row>
    <row r="10" spans="1:12">
      <c r="A10" s="76" t="s">
        <v>1147</v>
      </c>
      <c r="C10" s="77" t="s">
        <v>1148</v>
      </c>
      <c r="D10" s="77" t="s">
        <v>1149</v>
      </c>
      <c r="E10" s="77" t="s">
        <v>1150</v>
      </c>
      <c r="F10" s="77" t="s">
        <v>1151</v>
      </c>
      <c r="H10" s="75" t="s">
        <v>846</v>
      </c>
      <c r="I10" s="122"/>
      <c r="J10" s="76"/>
      <c r="K10" s="79"/>
      <c r="L10" s="80" t="s">
        <v>1135</v>
      </c>
    </row>
    <row r="11" spans="1:12">
      <c r="A11" s="76" t="s">
        <v>1152</v>
      </c>
      <c r="C11" s="77" t="s">
        <v>1153</v>
      </c>
      <c r="D11" s="77" t="s">
        <v>1154</v>
      </c>
      <c r="E11" s="77" t="s">
        <v>1155</v>
      </c>
      <c r="G11" s="77" t="s">
        <v>846</v>
      </c>
      <c r="H11" s="75" t="s">
        <v>846</v>
      </c>
      <c r="I11" s="122"/>
      <c r="J11" s="76"/>
      <c r="K11" s="79"/>
      <c r="L11" s="80" t="s">
        <v>1156</v>
      </c>
    </row>
    <row r="12" spans="1:12">
      <c r="A12" s="76" t="s">
        <v>870</v>
      </c>
      <c r="B12" s="78" t="s">
        <v>1157</v>
      </c>
      <c r="E12" s="78" t="s">
        <v>1158</v>
      </c>
      <c r="F12" s="78" t="s">
        <v>1159</v>
      </c>
      <c r="G12" s="77" t="s">
        <v>1160</v>
      </c>
      <c r="H12" s="77" t="s">
        <v>862</v>
      </c>
      <c r="L12" s="123" t="s">
        <v>1141</v>
      </c>
    </row>
    <row r="13" spans="1:12">
      <c r="A13" s="76" t="s">
        <v>1161</v>
      </c>
      <c r="B13" s="78" t="s">
        <v>1162</v>
      </c>
      <c r="E13" s="78" t="s">
        <v>1163</v>
      </c>
      <c r="F13" s="78" t="s">
        <v>1164</v>
      </c>
      <c r="G13" s="77" t="s">
        <v>1165</v>
      </c>
      <c r="H13" s="77" t="s">
        <v>895</v>
      </c>
      <c r="L13" s="123" t="s">
        <v>1141</v>
      </c>
    </row>
    <row r="14" spans="1:12">
      <c r="A14" s="76" t="s">
        <v>1166</v>
      </c>
      <c r="E14" s="77" t="s">
        <v>1167</v>
      </c>
      <c r="F14" s="77" t="s">
        <v>1168</v>
      </c>
      <c r="G14" s="77" t="s">
        <v>1169</v>
      </c>
      <c r="H14" s="77" t="s">
        <v>478</v>
      </c>
      <c r="L14" s="123" t="s">
        <v>1141</v>
      </c>
    </row>
    <row r="15" spans="1:12">
      <c r="A15" s="76" t="s">
        <v>1170</v>
      </c>
      <c r="B15" s="78" t="s">
        <v>1171</v>
      </c>
      <c r="C15" s="78" t="s">
        <v>1172</v>
      </c>
      <c r="D15" s="77" t="s">
        <v>1173</v>
      </c>
      <c r="E15" s="78" t="s">
        <v>1174</v>
      </c>
      <c r="F15" s="77" t="s">
        <v>1175</v>
      </c>
      <c r="G15" s="77" t="s">
        <v>1176</v>
      </c>
      <c r="H15" s="77" t="s">
        <v>478</v>
      </c>
      <c r="L15" s="80" t="s">
        <v>1177</v>
      </c>
    </row>
    <row r="16" spans="1:12">
      <c r="A16" s="76" t="s">
        <v>1178</v>
      </c>
      <c r="G16" s="77" t="s">
        <v>1179</v>
      </c>
      <c r="H16" s="77" t="s">
        <v>478</v>
      </c>
      <c r="L16" s="123" t="s">
        <v>1180</v>
      </c>
    </row>
    <row r="17" spans="1:12">
      <c r="A17" s="75" t="s">
        <v>1181</v>
      </c>
      <c r="E17" s="77" t="s">
        <v>1182</v>
      </c>
      <c r="F17" s="77" t="s">
        <v>1183</v>
      </c>
      <c r="G17" s="77" t="s">
        <v>1184</v>
      </c>
      <c r="H17" s="77" t="s">
        <v>478</v>
      </c>
      <c r="L17" s="123" t="s">
        <v>1141</v>
      </c>
    </row>
    <row r="18" spans="1:12">
      <c r="A18" s="75" t="s">
        <v>1185</v>
      </c>
      <c r="G18" s="77" t="s">
        <v>1184</v>
      </c>
      <c r="H18" s="77" t="s">
        <v>478</v>
      </c>
      <c r="L18" s="123" t="s">
        <v>1180</v>
      </c>
    </row>
    <row r="19" spans="1:12">
      <c r="A19" s="76" t="s">
        <v>839</v>
      </c>
      <c r="E19" s="78" t="s">
        <v>1186</v>
      </c>
      <c r="F19" s="78" t="s">
        <v>1187</v>
      </c>
      <c r="G19" s="77" t="s">
        <v>1188</v>
      </c>
      <c r="H19" s="77" t="s">
        <v>1122</v>
      </c>
      <c r="L19" s="123" t="s">
        <v>1189</v>
      </c>
    </row>
    <row r="20" spans="1:12">
      <c r="A20" s="76" t="s">
        <v>1190</v>
      </c>
      <c r="C20" s="77" t="s">
        <v>1191</v>
      </c>
      <c r="D20" s="77" t="s">
        <v>1192</v>
      </c>
      <c r="E20" s="77" t="s">
        <v>1193</v>
      </c>
      <c r="F20" s="77" t="s">
        <v>1194</v>
      </c>
      <c r="G20" s="77" t="s">
        <v>1195</v>
      </c>
      <c r="H20" s="77" t="s">
        <v>610</v>
      </c>
      <c r="L20" s="123" t="s">
        <v>1141</v>
      </c>
    </row>
    <row r="21" spans="1:12">
      <c r="A21" s="76" t="s">
        <v>1196</v>
      </c>
      <c r="B21" s="78" t="s">
        <v>1197</v>
      </c>
      <c r="C21" s="78" t="s">
        <v>1198</v>
      </c>
      <c r="E21" s="78" t="s">
        <v>1199</v>
      </c>
      <c r="F21" s="78" t="s">
        <v>1200</v>
      </c>
      <c r="G21" s="78" t="s">
        <v>1201</v>
      </c>
      <c r="H21" s="77" t="s">
        <v>1202</v>
      </c>
      <c r="L21" s="80" t="s">
        <v>1203</v>
      </c>
    </row>
    <row r="22" spans="1:12">
      <c r="A22" s="75" t="s">
        <v>1204</v>
      </c>
      <c r="B22" s="78" t="s">
        <v>1205</v>
      </c>
      <c r="C22" s="78"/>
      <c r="D22" s="78" t="s">
        <v>1206</v>
      </c>
      <c r="E22" s="130" t="s">
        <v>1207</v>
      </c>
      <c r="G22" s="78" t="s">
        <v>1208</v>
      </c>
      <c r="H22" s="78" t="s">
        <v>730</v>
      </c>
      <c r="I22" s="78" t="s">
        <v>1209</v>
      </c>
      <c r="L22" s="80" t="s">
        <v>1210</v>
      </c>
    </row>
    <row r="23" spans="1:12">
      <c r="A23" s="76" t="s">
        <v>976</v>
      </c>
      <c r="E23" s="130" t="s">
        <v>1211</v>
      </c>
      <c r="F23" s="77" t="s">
        <v>1212</v>
      </c>
      <c r="G23" s="77" t="s">
        <v>970</v>
      </c>
      <c r="H23" s="77" t="s">
        <v>970</v>
      </c>
      <c r="L23" s="79"/>
    </row>
    <row r="24" spans="1:12">
      <c r="A24" s="76" t="s">
        <v>1213</v>
      </c>
      <c r="B24" s="77" t="s">
        <v>1214</v>
      </c>
      <c r="E24" s="130" t="s">
        <v>1215</v>
      </c>
      <c r="H24" s="77" t="s">
        <v>1003</v>
      </c>
      <c r="I24" s="130" t="s">
        <v>1216</v>
      </c>
      <c r="J24" s="130" t="s">
        <v>1217</v>
      </c>
      <c r="L24" s="79" t="s">
        <v>1218</v>
      </c>
    </row>
  </sheetData>
  <phoneticPr fontId="16" type="noConversion"/>
  <hyperlinks>
    <hyperlink ref="E22" r:id="rId1" xr:uid="{3CC4F847-A219-4E62-8686-3A2DCB9E24C2}"/>
    <hyperlink ref="E23" r:id="rId2" xr:uid="{F1943E88-4574-46F1-9683-467C2711A6D1}"/>
    <hyperlink ref="I24" r:id="rId3" xr:uid="{0AE9D421-FEE4-41FC-9771-6F539DC44776}"/>
    <hyperlink ref="J24" r:id="rId4" xr:uid="{49909279-BF76-442D-93E8-CAC2A2357857}"/>
    <hyperlink ref="E24" r:id="rId5" xr:uid="{E0B23990-8821-450F-85C7-1E46B095AA14}"/>
  </hyperlinks>
  <pageMargins left="0.70866141732283472" right="0.70866141732283472" top="0.74803149606299213" bottom="0.74803149606299213" header="0.31496062992125984" footer="0.31496062992125984"/>
  <pageSetup paperSize="9" scale="46" fitToHeight="0" orientation="landscape" r:id="rId6"/>
  <tableParts count="1">
    <tablePart r:id="rId7"/>
  </tableParts>
  <extLst>
    <ext xmlns:x14="http://schemas.microsoft.com/office/spreadsheetml/2009/9/main" uri="{CCE6A557-97BC-4b89-ADB6-D9C93CAAB3DF}">
      <x14:dataValidations xmlns:xm="http://schemas.microsoft.com/office/excel/2006/main" count="1">
        <x14:dataValidation type="list" allowBlank="1" showInputMessage="1" showErrorMessage="1" xr:uid="{1A293F09-8BDA-4B82-83F1-5521AB945011}">
          <x14:formula1>
            <xm:f>'Registre de traitement'!$E$7:$E$81</xm:f>
          </x14:formula1>
          <xm:sqref>H5:H21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4">
    <pageSetUpPr fitToPage="1"/>
  </sheetPr>
  <dimension ref="A1:L15"/>
  <sheetViews>
    <sheetView showGridLines="0" workbookViewId="0"/>
  </sheetViews>
  <sheetFormatPr defaultColWidth="11.42578125" defaultRowHeight="12.75"/>
  <cols>
    <col min="2" max="2" width="27.28515625" customWidth="1"/>
    <col min="3" max="3" width="19.42578125" customWidth="1"/>
    <col min="4" max="4" width="20.28515625" customWidth="1"/>
    <col min="5" max="5" width="22.28515625" customWidth="1"/>
    <col min="6" max="6" width="21.140625" customWidth="1"/>
    <col min="7" max="7" width="27" customWidth="1"/>
    <col min="8" max="8" width="34.140625" customWidth="1"/>
    <col min="9" max="9" width="20.28515625" customWidth="1"/>
    <col min="10" max="10" width="33.28515625" customWidth="1"/>
    <col min="11" max="11" width="34.7109375" customWidth="1"/>
    <col min="12" max="12" width="48.5703125" customWidth="1"/>
  </cols>
  <sheetData>
    <row r="1" spans="1:12" ht="20.25">
      <c r="A1" s="195" t="s">
        <v>1219</v>
      </c>
      <c r="B1" s="195"/>
      <c r="C1" s="195"/>
      <c r="D1" s="195"/>
      <c r="E1" s="195"/>
      <c r="F1" s="195"/>
      <c r="G1" s="195"/>
      <c r="H1" s="195"/>
      <c r="I1" s="195"/>
      <c r="J1" s="195"/>
      <c r="K1" s="195"/>
      <c r="L1" s="195"/>
    </row>
    <row r="3" spans="1:12" s="7" customFormat="1" ht="38.25">
      <c r="A3" s="8" t="s">
        <v>1073</v>
      </c>
      <c r="B3" s="8" t="s">
        <v>1220</v>
      </c>
      <c r="C3" s="8" t="s">
        <v>1221</v>
      </c>
      <c r="D3" s="8" t="s">
        <v>1222</v>
      </c>
      <c r="E3" s="8" t="s">
        <v>1223</v>
      </c>
      <c r="F3" s="8" t="s">
        <v>1224</v>
      </c>
      <c r="G3" s="8" t="s">
        <v>1225</v>
      </c>
      <c r="H3" s="8" t="s">
        <v>1226</v>
      </c>
      <c r="I3" s="8" t="s">
        <v>1227</v>
      </c>
      <c r="J3" s="8" t="s">
        <v>1228</v>
      </c>
      <c r="K3" s="8" t="s">
        <v>1229</v>
      </c>
      <c r="L3" s="8" t="s">
        <v>137</v>
      </c>
    </row>
    <row r="4" spans="1:12" s="10" customFormat="1">
      <c r="A4" s="9"/>
      <c r="B4" s="9"/>
      <c r="C4" s="9"/>
      <c r="D4" s="9"/>
      <c r="E4" s="9"/>
      <c r="F4" s="9"/>
      <c r="G4" s="9"/>
      <c r="H4" s="9"/>
      <c r="I4" s="9"/>
      <c r="J4" s="9"/>
      <c r="K4" s="9"/>
      <c r="L4" s="9"/>
    </row>
    <row r="5" spans="1:12" s="10" customFormat="1">
      <c r="A5" s="9"/>
      <c r="B5" s="9"/>
      <c r="C5" s="9"/>
      <c r="D5" s="9"/>
      <c r="E5" s="9"/>
      <c r="F5" s="9"/>
      <c r="G5" s="9"/>
      <c r="H5" s="9"/>
      <c r="I5" s="9"/>
      <c r="J5" s="9"/>
      <c r="K5" s="9"/>
      <c r="L5" s="9"/>
    </row>
    <row r="6" spans="1:12" s="10" customFormat="1">
      <c r="A6" s="9"/>
      <c r="B6" s="9"/>
      <c r="C6" s="9"/>
      <c r="D6" s="9"/>
      <c r="E6" s="9"/>
      <c r="F6" s="9"/>
      <c r="G6" s="9"/>
      <c r="H6" s="9"/>
      <c r="I6" s="9"/>
      <c r="J6" s="9"/>
      <c r="K6" s="9"/>
      <c r="L6" s="9"/>
    </row>
    <row r="7" spans="1:12" s="10" customFormat="1">
      <c r="A7" s="9"/>
      <c r="B7" s="9"/>
      <c r="C7" s="9"/>
      <c r="D7" s="9"/>
      <c r="E7" s="9"/>
      <c r="F7" s="9"/>
      <c r="G7" s="9"/>
      <c r="H7" s="9"/>
      <c r="I7" s="9"/>
      <c r="J7" s="9"/>
      <c r="K7" s="9"/>
      <c r="L7" s="9"/>
    </row>
    <row r="8" spans="1:12" s="10" customFormat="1">
      <c r="A8" s="9"/>
      <c r="B8" s="9"/>
      <c r="C8" s="9"/>
      <c r="D8" s="9"/>
      <c r="E8" s="9"/>
      <c r="F8" s="9"/>
      <c r="G8" s="9"/>
      <c r="H8" s="9"/>
      <c r="I8" s="9"/>
      <c r="J8" s="9"/>
      <c r="K8" s="9"/>
      <c r="L8" s="9"/>
    </row>
    <row r="9" spans="1:12" s="10" customFormat="1">
      <c r="A9" s="9"/>
      <c r="B9" s="9"/>
      <c r="C9" s="9"/>
      <c r="D9" s="9"/>
      <c r="E9" s="9"/>
      <c r="F9" s="9"/>
      <c r="G9" s="9"/>
      <c r="H9" s="9"/>
      <c r="I9" s="9"/>
      <c r="J9" s="9"/>
      <c r="K9" s="9"/>
      <c r="L9" s="9"/>
    </row>
    <row r="10" spans="1:12" s="10" customFormat="1">
      <c r="A10" s="9"/>
      <c r="B10" s="9"/>
      <c r="C10" s="9"/>
      <c r="D10" s="9"/>
      <c r="E10" s="9"/>
      <c r="F10" s="9"/>
      <c r="G10" s="9"/>
      <c r="H10" s="9"/>
      <c r="I10" s="9"/>
      <c r="J10" s="9"/>
      <c r="K10" s="9"/>
      <c r="L10" s="9"/>
    </row>
    <row r="11" spans="1:12" s="10" customFormat="1">
      <c r="A11" s="9"/>
      <c r="B11" s="9"/>
      <c r="C11" s="9"/>
      <c r="D11" s="9"/>
      <c r="E11" s="9"/>
      <c r="F11" s="9"/>
      <c r="G11" s="9"/>
      <c r="H11" s="9"/>
      <c r="I11" s="9"/>
      <c r="J11" s="9"/>
      <c r="K11" s="9"/>
      <c r="L11" s="9"/>
    </row>
    <row r="12" spans="1:12" s="10" customFormat="1">
      <c r="A12" s="9"/>
      <c r="B12" s="9"/>
      <c r="C12" s="9"/>
      <c r="D12" s="9"/>
      <c r="E12" s="9"/>
      <c r="F12" s="9"/>
      <c r="G12" s="9"/>
      <c r="H12" s="9"/>
      <c r="I12" s="9"/>
      <c r="J12" s="9"/>
      <c r="K12" s="9"/>
      <c r="L12" s="9"/>
    </row>
    <row r="13" spans="1:12" s="10" customFormat="1">
      <c r="A13" s="9"/>
      <c r="B13" s="9"/>
      <c r="C13" s="9"/>
      <c r="D13" s="9"/>
      <c r="E13" s="9"/>
      <c r="F13" s="9"/>
      <c r="G13" s="9"/>
      <c r="H13" s="9"/>
      <c r="I13" s="9"/>
      <c r="J13" s="9"/>
      <c r="K13" s="9"/>
      <c r="L13" s="9"/>
    </row>
    <row r="14" spans="1:12" s="10" customFormat="1">
      <c r="A14" s="9"/>
      <c r="B14" s="9"/>
      <c r="C14" s="9"/>
      <c r="D14" s="9"/>
      <c r="E14" s="9"/>
      <c r="F14" s="9"/>
      <c r="G14" s="9"/>
      <c r="H14" s="9"/>
      <c r="I14" s="9"/>
      <c r="J14" s="9"/>
      <c r="K14" s="9"/>
      <c r="L14" s="9"/>
    </row>
    <row r="15" spans="1:12" s="10" customFormat="1">
      <c r="A15" s="9"/>
      <c r="B15" s="9"/>
      <c r="C15" s="9"/>
      <c r="D15" s="9"/>
      <c r="E15" s="9"/>
      <c r="F15" s="9"/>
      <c r="G15" s="9"/>
      <c r="H15" s="9"/>
      <c r="I15" s="9"/>
      <c r="J15" s="9"/>
      <c r="K15" s="9"/>
      <c r="L15" s="9"/>
    </row>
  </sheetData>
  <mergeCells count="1">
    <mergeCell ref="A1:L1"/>
  </mergeCells>
  <pageMargins left="0.25" right="0.25" top="0.75" bottom="0.75" header="0.3" footer="0.3"/>
  <pageSetup paperSize="9" scale="45" fitToHeight="0" orientation="landscape"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pageSetUpPr fitToPage="1"/>
  </sheetPr>
  <dimension ref="A1:J16"/>
  <sheetViews>
    <sheetView showGridLines="0" workbookViewId="0">
      <pane ySplit="4" topLeftCell="A5" activePane="bottomLeft" state="frozen"/>
      <selection pane="bottomLeft" activeCell="H6" sqref="H6"/>
      <selection activeCell="C21" sqref="C21"/>
    </sheetView>
  </sheetViews>
  <sheetFormatPr defaultColWidth="22" defaultRowHeight="12.75"/>
  <cols>
    <col min="1" max="5" width="22" style="60"/>
    <col min="6" max="6" width="22" style="65"/>
    <col min="7" max="16384" width="22" style="60"/>
  </cols>
  <sheetData>
    <row r="1" spans="1:10" ht="18">
      <c r="A1" s="196" t="s">
        <v>1230</v>
      </c>
      <c r="B1" s="196"/>
      <c r="C1" s="196"/>
      <c r="D1" s="196"/>
      <c r="E1" s="196"/>
      <c r="F1" s="196"/>
      <c r="G1" s="196"/>
      <c r="H1" s="196"/>
      <c r="I1" s="196"/>
      <c r="J1" s="196"/>
    </row>
    <row r="3" spans="1:10" ht="15.75">
      <c r="A3" s="197" t="s">
        <v>1231</v>
      </c>
      <c r="B3" s="198"/>
      <c r="C3" s="198"/>
      <c r="D3" s="198"/>
      <c r="E3" s="198"/>
      <c r="F3" s="198" t="s">
        <v>1232</v>
      </c>
      <c r="G3" s="198"/>
      <c r="H3" s="198"/>
      <c r="I3" s="198"/>
      <c r="J3" s="199"/>
    </row>
    <row r="4" spans="1:10" s="64" customFormat="1" ht="38.25">
      <c r="A4" s="61" t="s">
        <v>1233</v>
      </c>
      <c r="B4" s="62" t="s">
        <v>1234</v>
      </c>
      <c r="C4" s="62" t="s">
        <v>1235</v>
      </c>
      <c r="D4" s="62" t="s">
        <v>1236</v>
      </c>
      <c r="E4" s="62" t="s">
        <v>1237</v>
      </c>
      <c r="F4" s="62" t="s">
        <v>1238</v>
      </c>
      <c r="G4" s="62" t="s">
        <v>1239</v>
      </c>
      <c r="H4" s="62" t="s">
        <v>1240</v>
      </c>
      <c r="I4" s="62" t="s">
        <v>1241</v>
      </c>
      <c r="J4" s="63" t="s">
        <v>1242</v>
      </c>
    </row>
    <row r="5" spans="1:10" ht="25.5">
      <c r="A5" s="60" t="s">
        <v>1243</v>
      </c>
      <c r="B5" s="65" t="s">
        <v>1244</v>
      </c>
      <c r="C5" s="60" t="s">
        <v>824</v>
      </c>
      <c r="D5" s="117">
        <v>45556</v>
      </c>
      <c r="E5" s="65" t="s">
        <v>432</v>
      </c>
      <c r="G5" s="65" t="s">
        <v>432</v>
      </c>
      <c r="H5" s="66" t="s">
        <v>1245</v>
      </c>
      <c r="I5" s="66"/>
      <c r="J5" s="60" t="s">
        <v>1246</v>
      </c>
    </row>
    <row r="6" spans="1:10" ht="25.5">
      <c r="A6" s="60" t="s">
        <v>1243</v>
      </c>
      <c r="B6" s="65" t="s">
        <v>1244</v>
      </c>
      <c r="C6" s="60" t="s">
        <v>824</v>
      </c>
      <c r="D6" s="117">
        <v>45556</v>
      </c>
      <c r="E6" s="65" t="s">
        <v>432</v>
      </c>
      <c r="G6" s="65" t="s">
        <v>432</v>
      </c>
      <c r="H6" s="66" t="s">
        <v>1245</v>
      </c>
      <c r="I6" s="65"/>
      <c r="J6" s="60" t="s">
        <v>1246</v>
      </c>
    </row>
    <row r="7" spans="1:10">
      <c r="B7" s="65"/>
      <c r="E7" s="65"/>
      <c r="G7" s="65"/>
      <c r="H7" s="65"/>
      <c r="I7" s="65"/>
    </row>
    <row r="8" spans="1:10">
      <c r="E8" s="65"/>
      <c r="H8" s="66"/>
      <c r="I8" s="66"/>
    </row>
    <row r="9" spans="1:10">
      <c r="A9" s="67"/>
      <c r="B9" s="65"/>
      <c r="E9" s="65"/>
      <c r="H9" s="66"/>
      <c r="I9" s="66"/>
    </row>
    <row r="10" spans="1:10">
      <c r="B10" s="65"/>
      <c r="E10" s="65"/>
    </row>
    <row r="11" spans="1:10">
      <c r="A11" s="67"/>
      <c r="B11" s="65"/>
      <c r="E11" s="65"/>
      <c r="G11" s="65"/>
      <c r="H11" s="65"/>
      <c r="I11" s="65"/>
    </row>
    <row r="12" spans="1:10">
      <c r="A12" s="68"/>
      <c r="B12" s="65"/>
      <c r="G12" s="65"/>
      <c r="H12" s="65"/>
      <c r="I12" s="65"/>
      <c r="J12" s="69"/>
    </row>
    <row r="13" spans="1:10">
      <c r="B13" s="65"/>
      <c r="H13" s="65"/>
      <c r="I13" s="65"/>
    </row>
    <row r="14" spans="1:10">
      <c r="B14" s="65"/>
      <c r="E14" s="65"/>
      <c r="G14" s="65"/>
      <c r="H14" s="65"/>
      <c r="I14" s="65"/>
    </row>
    <row r="15" spans="1:10">
      <c r="E15" s="65"/>
      <c r="G15" s="65"/>
    </row>
    <row r="16" spans="1:10">
      <c r="B16" s="65"/>
      <c r="E16" s="65"/>
      <c r="G16" s="65"/>
    </row>
  </sheetData>
  <mergeCells count="3">
    <mergeCell ref="A1:J1"/>
    <mergeCell ref="A3:E3"/>
    <mergeCell ref="F3:J3"/>
  </mergeCells>
  <dataValidations count="1">
    <dataValidation type="list" allowBlank="1" showInputMessage="1" showErrorMessage="1" sqref="A5:A16" xr:uid="{00000000-0002-0000-0400-000000000000}">
      <formula1>"Accès (Consultation), Portabilité, Rectification, Anonymisation, Suppression, Autres..."</formula1>
    </dataValidation>
  </dataValidations>
  <pageMargins left="0.25" right="0.25" top="0.75" bottom="0.75" header="0.3" footer="0.3"/>
  <pageSetup paperSize="9" scale="66" fitToHeight="0"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03C2A-D41C-4CD2-AE41-B9B76FA0E93A}">
  <dimension ref="A1:H39"/>
  <sheetViews>
    <sheetView workbookViewId="0">
      <selection activeCell="D3" sqref="D3"/>
    </sheetView>
  </sheetViews>
  <sheetFormatPr defaultRowHeight="12.75"/>
  <cols>
    <col min="1" max="1" width="36.85546875" style="77" customWidth="1"/>
    <col min="2" max="2" width="83.140625" style="169" customWidth="1"/>
    <col min="3" max="3" width="18.85546875" style="77" customWidth="1"/>
    <col min="4" max="4" width="41.140625" style="8" customWidth="1"/>
    <col min="5" max="5" width="22.42578125" style="77" customWidth="1"/>
    <col min="6" max="6" width="13.5703125" style="77" customWidth="1"/>
    <col min="7" max="7" width="18.5703125" style="77" customWidth="1"/>
    <col min="8" max="8" width="28.28515625" customWidth="1"/>
  </cols>
  <sheetData>
    <row r="1" spans="1:8" ht="14.25">
      <c r="A1" s="158" t="s">
        <v>1247</v>
      </c>
      <c r="B1" s="163" t="s">
        <v>1248</v>
      </c>
      <c r="C1" s="159" t="s">
        <v>1249</v>
      </c>
      <c r="D1" s="159" t="s">
        <v>1250</v>
      </c>
      <c r="E1" s="159" t="s">
        <v>1251</v>
      </c>
      <c r="F1" s="159" t="s">
        <v>1252</v>
      </c>
      <c r="G1" s="159" t="s">
        <v>1253</v>
      </c>
      <c r="H1" s="164" t="s">
        <v>1018</v>
      </c>
    </row>
    <row r="2" spans="1:8" ht="84">
      <c r="A2" s="160" t="s">
        <v>1254</v>
      </c>
      <c r="B2" s="166" t="s">
        <v>1255</v>
      </c>
      <c r="C2" s="160" t="s">
        <v>1256</v>
      </c>
      <c r="D2" s="160" t="s">
        <v>1257</v>
      </c>
      <c r="E2" s="160" t="s">
        <v>1258</v>
      </c>
      <c r="F2" s="160" t="s">
        <v>1259</v>
      </c>
      <c r="G2" s="160" t="s">
        <v>1260</v>
      </c>
      <c r="H2" s="165"/>
    </row>
    <row r="3" spans="1:8" ht="335.25" customHeight="1">
      <c r="A3" s="161" t="s">
        <v>1261</v>
      </c>
      <c r="B3" s="168" t="s">
        <v>1262</v>
      </c>
      <c r="C3" s="161" t="s">
        <v>1263</v>
      </c>
      <c r="D3" s="161" t="s">
        <v>1264</v>
      </c>
      <c r="E3" s="161" t="s">
        <v>1258</v>
      </c>
      <c r="F3" s="161" t="s">
        <v>1259</v>
      </c>
      <c r="G3" s="161" t="s">
        <v>1260</v>
      </c>
      <c r="H3" s="167"/>
    </row>
    <row r="4" spans="1:8" ht="178.5">
      <c r="A4" s="161" t="s">
        <v>1265</v>
      </c>
      <c r="B4" s="168" t="s">
        <v>1266</v>
      </c>
      <c r="C4" s="161" t="s">
        <v>1263</v>
      </c>
      <c r="D4" s="161" t="s">
        <v>1267</v>
      </c>
      <c r="E4" s="161" t="s">
        <v>1268</v>
      </c>
      <c r="F4" s="161" t="s">
        <v>1269</v>
      </c>
      <c r="G4" s="161" t="s">
        <v>1270</v>
      </c>
      <c r="H4" s="167"/>
    </row>
    <row r="5" spans="1:8" ht="178.5">
      <c r="A5" s="161" t="s">
        <v>1271</v>
      </c>
      <c r="B5" s="168" t="s">
        <v>1272</v>
      </c>
      <c r="C5" s="161" t="s">
        <v>1263</v>
      </c>
      <c r="D5" s="161" t="s">
        <v>604</v>
      </c>
      <c r="E5" s="161" t="s">
        <v>1273</v>
      </c>
      <c r="F5" s="161" t="s">
        <v>1259</v>
      </c>
      <c r="G5" s="161" t="s">
        <v>1260</v>
      </c>
      <c r="H5" s="167"/>
    </row>
    <row r="6" spans="1:8" ht="84">
      <c r="A6" s="161" t="s">
        <v>1274</v>
      </c>
      <c r="B6" s="168" t="s">
        <v>1275</v>
      </c>
      <c r="C6" s="161" t="s">
        <v>1276</v>
      </c>
      <c r="D6" s="161" t="s">
        <v>1277</v>
      </c>
      <c r="E6" s="161" t="s">
        <v>1278</v>
      </c>
      <c r="F6" s="161" t="s">
        <v>1259</v>
      </c>
      <c r="G6" s="161" t="s">
        <v>1260</v>
      </c>
      <c r="H6" s="167"/>
    </row>
    <row r="7" spans="1:8" ht="36">
      <c r="A7" s="161" t="s">
        <v>1279</v>
      </c>
      <c r="B7" s="168" t="s">
        <v>1280</v>
      </c>
      <c r="C7" s="161" t="s">
        <v>1263</v>
      </c>
      <c r="D7" s="161" t="s">
        <v>604</v>
      </c>
      <c r="E7" s="161" t="s">
        <v>1281</v>
      </c>
      <c r="F7" s="161" t="s">
        <v>1259</v>
      </c>
      <c r="G7" s="161" t="s">
        <v>1260</v>
      </c>
      <c r="H7" s="167"/>
    </row>
    <row r="8" spans="1:8" ht="107.25">
      <c r="A8" s="161" t="s">
        <v>1282</v>
      </c>
      <c r="B8" s="168" t="s">
        <v>1283</v>
      </c>
      <c r="C8" s="161" t="s">
        <v>1284</v>
      </c>
      <c r="D8" s="161" t="s">
        <v>1285</v>
      </c>
      <c r="E8" s="161" t="s">
        <v>1258</v>
      </c>
      <c r="F8" s="161" t="s">
        <v>1259</v>
      </c>
      <c r="G8" s="161" t="s">
        <v>1260</v>
      </c>
      <c r="H8" s="167"/>
    </row>
    <row r="9" spans="1:8" ht="84">
      <c r="A9" s="161" t="s">
        <v>1286</v>
      </c>
      <c r="B9" s="168" t="s">
        <v>1287</v>
      </c>
      <c r="C9" s="161" t="s">
        <v>1284</v>
      </c>
      <c r="D9" s="161" t="s">
        <v>1288</v>
      </c>
      <c r="E9" s="161" t="s">
        <v>1258</v>
      </c>
      <c r="F9" s="161" t="s">
        <v>1259</v>
      </c>
      <c r="G9" s="161" t="s">
        <v>1260</v>
      </c>
      <c r="H9" s="167"/>
    </row>
    <row r="10" spans="1:8" ht="214.5">
      <c r="A10" s="161" t="s">
        <v>1289</v>
      </c>
      <c r="B10" s="168" t="s">
        <v>1290</v>
      </c>
      <c r="C10" s="161" t="s">
        <v>1263</v>
      </c>
      <c r="D10" s="161" t="s">
        <v>604</v>
      </c>
      <c r="E10" s="161" t="s">
        <v>1291</v>
      </c>
      <c r="F10" s="161" t="s">
        <v>1259</v>
      </c>
      <c r="G10" s="161" t="s">
        <v>1260</v>
      </c>
      <c r="H10" s="167"/>
    </row>
    <row r="11" spans="1:8" ht="238.5">
      <c r="A11" s="161" t="s">
        <v>1292</v>
      </c>
      <c r="B11" s="168" t="s">
        <v>1293</v>
      </c>
      <c r="C11" s="161" t="s">
        <v>1263</v>
      </c>
      <c r="D11" s="161" t="s">
        <v>1294</v>
      </c>
      <c r="E11" s="161" t="s">
        <v>1295</v>
      </c>
      <c r="F11" s="161" t="s">
        <v>1259</v>
      </c>
      <c r="G11" s="161" t="s">
        <v>1296</v>
      </c>
      <c r="H11" s="167"/>
    </row>
    <row r="12" spans="1:8" ht="60">
      <c r="A12" s="161" t="s">
        <v>1297</v>
      </c>
      <c r="B12" s="168" t="s">
        <v>1298</v>
      </c>
      <c r="C12" s="161" t="s">
        <v>1263</v>
      </c>
      <c r="D12" s="161" t="s">
        <v>1299</v>
      </c>
      <c r="E12" s="161" t="s">
        <v>1258</v>
      </c>
      <c r="F12" s="161" t="s">
        <v>1259</v>
      </c>
      <c r="G12" s="161" t="s">
        <v>1300</v>
      </c>
      <c r="H12" s="167"/>
    </row>
    <row r="13" spans="1:8" ht="214.5">
      <c r="A13" s="161" t="s">
        <v>1301</v>
      </c>
      <c r="B13" s="168" t="s">
        <v>1302</v>
      </c>
      <c r="C13" s="161" t="s">
        <v>1263</v>
      </c>
      <c r="D13" s="161" t="s">
        <v>1303</v>
      </c>
      <c r="E13" s="161" t="s">
        <v>1304</v>
      </c>
      <c r="F13" s="161" t="s">
        <v>1259</v>
      </c>
      <c r="G13" s="161" t="s">
        <v>1300</v>
      </c>
      <c r="H13" s="167"/>
    </row>
    <row r="14" spans="1:8" ht="84">
      <c r="A14" s="161" t="s">
        <v>1305</v>
      </c>
      <c r="B14" s="168" t="s">
        <v>1306</v>
      </c>
      <c r="C14" s="161" t="s">
        <v>1263</v>
      </c>
      <c r="D14" s="161" t="s">
        <v>1307</v>
      </c>
      <c r="E14" s="161" t="s">
        <v>1308</v>
      </c>
      <c r="F14" s="161" t="s">
        <v>1259</v>
      </c>
      <c r="G14" s="161" t="s">
        <v>1300</v>
      </c>
      <c r="H14" s="167"/>
    </row>
    <row r="15" spans="1:8" ht="96">
      <c r="A15" s="161" t="s">
        <v>1309</v>
      </c>
      <c r="B15" s="168" t="s">
        <v>1310</v>
      </c>
      <c r="C15" s="161" t="s">
        <v>1263</v>
      </c>
      <c r="D15" s="161" t="s">
        <v>1311</v>
      </c>
      <c r="E15" s="161" t="s">
        <v>1312</v>
      </c>
      <c r="F15" s="161" t="s">
        <v>1259</v>
      </c>
      <c r="G15" s="161" t="s">
        <v>1300</v>
      </c>
      <c r="H15" s="167"/>
    </row>
    <row r="16" spans="1:8" ht="118.5">
      <c r="A16" s="161" t="s">
        <v>1313</v>
      </c>
      <c r="B16" s="168" t="s">
        <v>1314</v>
      </c>
      <c r="C16" s="161" t="s">
        <v>1315</v>
      </c>
      <c r="D16" s="161" t="s">
        <v>604</v>
      </c>
      <c r="E16" s="161" t="s">
        <v>1316</v>
      </c>
      <c r="F16" s="161" t="s">
        <v>1317</v>
      </c>
      <c r="G16" s="161" t="s">
        <v>1318</v>
      </c>
      <c r="H16" s="167"/>
    </row>
    <row r="17" spans="1:8" ht="107.25">
      <c r="A17" s="161" t="s">
        <v>1319</v>
      </c>
      <c r="B17" s="168" t="s">
        <v>1320</v>
      </c>
      <c r="C17" s="161" t="s">
        <v>1321</v>
      </c>
      <c r="D17" s="161" t="s">
        <v>1322</v>
      </c>
      <c r="E17" s="161" t="s">
        <v>1323</v>
      </c>
      <c r="F17" s="161" t="s">
        <v>1259</v>
      </c>
      <c r="G17" s="161" t="s">
        <v>1324</v>
      </c>
      <c r="H17" s="167"/>
    </row>
    <row r="18" spans="1:8" ht="96">
      <c r="A18" s="161" t="s">
        <v>1325</v>
      </c>
      <c r="B18" s="168" t="s">
        <v>1326</v>
      </c>
      <c r="C18" s="161" t="s">
        <v>1327</v>
      </c>
      <c r="D18" s="161" t="s">
        <v>1328</v>
      </c>
      <c r="E18" s="161" t="s">
        <v>1329</v>
      </c>
      <c r="F18" s="161" t="s">
        <v>1259</v>
      </c>
      <c r="G18" s="161" t="s">
        <v>1324</v>
      </c>
      <c r="H18" s="167"/>
    </row>
    <row r="19" spans="1:8" ht="118.5">
      <c r="A19" s="161" t="s">
        <v>1330</v>
      </c>
      <c r="B19" s="168" t="s">
        <v>1331</v>
      </c>
      <c r="C19" s="161" t="s">
        <v>1332</v>
      </c>
      <c r="D19" s="161" t="s">
        <v>1333</v>
      </c>
      <c r="E19" s="161" t="s">
        <v>1334</v>
      </c>
      <c r="F19" s="161" t="s">
        <v>1259</v>
      </c>
      <c r="G19" s="161" t="s">
        <v>1324</v>
      </c>
      <c r="H19" s="167"/>
    </row>
    <row r="20" spans="1:8" ht="48">
      <c r="A20" s="161" t="s">
        <v>1335</v>
      </c>
      <c r="B20" s="168" t="s">
        <v>1336</v>
      </c>
      <c r="C20" s="161" t="s">
        <v>1263</v>
      </c>
      <c r="D20" s="161" t="s">
        <v>604</v>
      </c>
      <c r="E20" s="161" t="s">
        <v>1337</v>
      </c>
      <c r="F20" s="161" t="s">
        <v>1338</v>
      </c>
      <c r="G20" s="161" t="s">
        <v>1260</v>
      </c>
      <c r="H20" s="167"/>
    </row>
    <row r="21" spans="1:8" ht="72">
      <c r="A21" s="161" t="s">
        <v>1339</v>
      </c>
      <c r="B21" s="168" t="s">
        <v>1340</v>
      </c>
      <c r="C21" s="161" t="s">
        <v>1341</v>
      </c>
      <c r="D21" s="161" t="s">
        <v>1342</v>
      </c>
      <c r="E21" s="161" t="s">
        <v>1343</v>
      </c>
      <c r="F21" s="161" t="s">
        <v>1344</v>
      </c>
      <c r="G21" s="161" t="s">
        <v>1260</v>
      </c>
      <c r="H21" s="167"/>
    </row>
    <row r="22" spans="1:8" ht="84">
      <c r="A22" s="161" t="s">
        <v>1345</v>
      </c>
      <c r="B22" s="168" t="s">
        <v>1346</v>
      </c>
      <c r="C22" s="161" t="s">
        <v>1347</v>
      </c>
      <c r="D22" s="161" t="s">
        <v>1348</v>
      </c>
      <c r="E22" s="161" t="s">
        <v>1349</v>
      </c>
      <c r="F22" s="161" t="s">
        <v>1344</v>
      </c>
      <c r="G22" s="161" t="s">
        <v>1259</v>
      </c>
      <c r="H22" s="167"/>
    </row>
    <row r="23" spans="1:8" ht="72">
      <c r="A23" s="161" t="s">
        <v>1350</v>
      </c>
      <c r="B23" s="168" t="s">
        <v>1351</v>
      </c>
      <c r="C23" s="161" t="s">
        <v>1352</v>
      </c>
      <c r="D23" s="161" t="s">
        <v>1353</v>
      </c>
      <c r="E23" s="161" t="s">
        <v>1354</v>
      </c>
      <c r="F23" s="161" t="s">
        <v>1344</v>
      </c>
      <c r="G23" s="161" t="s">
        <v>1300</v>
      </c>
      <c r="H23" s="167"/>
    </row>
    <row r="24" spans="1:8" ht="60">
      <c r="A24" s="161" t="s">
        <v>1355</v>
      </c>
      <c r="B24" s="168" t="s">
        <v>1356</v>
      </c>
      <c r="C24" s="162" t="s">
        <v>1357</v>
      </c>
      <c r="D24" s="162" t="s">
        <v>1358</v>
      </c>
      <c r="E24" s="161" t="s">
        <v>1349</v>
      </c>
      <c r="F24" s="161" t="s">
        <v>1344</v>
      </c>
      <c r="G24" s="161" t="s">
        <v>1359</v>
      </c>
      <c r="H24" s="167"/>
    </row>
    <row r="25" spans="1:8" ht="250.5">
      <c r="A25" s="161" t="s">
        <v>1360</v>
      </c>
      <c r="B25" s="168" t="s">
        <v>1361</v>
      </c>
      <c r="C25" s="161" t="s">
        <v>1362</v>
      </c>
      <c r="D25" s="161" t="s">
        <v>604</v>
      </c>
      <c r="E25" s="161" t="s">
        <v>1363</v>
      </c>
      <c r="F25" s="161" t="s">
        <v>1344</v>
      </c>
      <c r="G25" s="161" t="s">
        <v>1324</v>
      </c>
      <c r="H25" s="167"/>
    </row>
    <row r="26" spans="1:8" ht="166.5">
      <c r="A26" s="161" t="s">
        <v>1364</v>
      </c>
      <c r="B26" s="168" t="s">
        <v>1365</v>
      </c>
      <c r="C26" s="162" t="s">
        <v>1366</v>
      </c>
      <c r="D26" s="161" t="s">
        <v>1367</v>
      </c>
      <c r="E26" s="161" t="s">
        <v>1368</v>
      </c>
      <c r="F26" s="161" t="s">
        <v>1344</v>
      </c>
      <c r="G26" s="161" t="s">
        <v>1369</v>
      </c>
      <c r="H26" s="167"/>
    </row>
    <row r="27" spans="1:8" ht="118.5">
      <c r="A27" s="161" t="s">
        <v>1370</v>
      </c>
      <c r="B27" s="168" t="s">
        <v>1371</v>
      </c>
      <c r="C27" s="161" t="s">
        <v>1372</v>
      </c>
      <c r="D27" s="161" t="s">
        <v>1373</v>
      </c>
      <c r="E27" s="161" t="s">
        <v>1374</v>
      </c>
      <c r="F27" s="161" t="s">
        <v>1344</v>
      </c>
      <c r="G27" s="161" t="s">
        <v>1369</v>
      </c>
      <c r="H27" s="167"/>
    </row>
    <row r="28" spans="1:8" ht="60">
      <c r="A28" s="161" t="s">
        <v>1375</v>
      </c>
      <c r="B28" s="168" t="s">
        <v>1376</v>
      </c>
      <c r="C28" s="161" t="s">
        <v>1377</v>
      </c>
      <c r="D28" s="161" t="s">
        <v>604</v>
      </c>
      <c r="E28" s="161" t="s">
        <v>1378</v>
      </c>
      <c r="F28" s="161" t="s">
        <v>1379</v>
      </c>
      <c r="G28" s="161" t="s">
        <v>1380</v>
      </c>
      <c r="H28" s="167"/>
    </row>
    <row r="29" spans="1:8" ht="405">
      <c r="A29" s="161" t="s">
        <v>1381</v>
      </c>
      <c r="B29" s="168" t="s">
        <v>1382</v>
      </c>
      <c r="C29" s="161" t="s">
        <v>1263</v>
      </c>
      <c r="D29" s="161" t="s">
        <v>1383</v>
      </c>
      <c r="E29" s="161" t="s">
        <v>1384</v>
      </c>
      <c r="F29" s="161" t="s">
        <v>1379</v>
      </c>
      <c r="G29" s="161" t="s">
        <v>1300</v>
      </c>
      <c r="H29" s="167"/>
    </row>
    <row r="30" spans="1:8" ht="60">
      <c r="A30" s="161" t="s">
        <v>1385</v>
      </c>
      <c r="B30" s="168" t="s">
        <v>1386</v>
      </c>
      <c r="C30" s="161" t="s">
        <v>1387</v>
      </c>
      <c r="D30" s="161" t="s">
        <v>1388</v>
      </c>
      <c r="E30" s="161" t="s">
        <v>1389</v>
      </c>
      <c r="F30" s="161" t="s">
        <v>1379</v>
      </c>
      <c r="G30" s="161" t="s">
        <v>1300</v>
      </c>
      <c r="H30" s="167"/>
    </row>
    <row r="31" spans="1:8" ht="118.5">
      <c r="A31" s="161" t="s">
        <v>1390</v>
      </c>
      <c r="B31" s="168" t="s">
        <v>1391</v>
      </c>
      <c r="C31" s="161" t="s">
        <v>1392</v>
      </c>
      <c r="D31" s="161" t="s">
        <v>1393</v>
      </c>
      <c r="E31" s="161" t="s">
        <v>1394</v>
      </c>
      <c r="F31" s="161" t="s">
        <v>1379</v>
      </c>
      <c r="G31" s="161" t="s">
        <v>1300</v>
      </c>
      <c r="H31" s="167"/>
    </row>
    <row r="32" spans="1:8" ht="357">
      <c r="A32" s="161" t="s">
        <v>1395</v>
      </c>
      <c r="B32" s="168" t="s">
        <v>1396</v>
      </c>
      <c r="C32" s="161" t="s">
        <v>1263</v>
      </c>
      <c r="D32" s="161" t="s">
        <v>1397</v>
      </c>
      <c r="E32" s="161" t="s">
        <v>1398</v>
      </c>
      <c r="F32" s="161" t="s">
        <v>1379</v>
      </c>
      <c r="G32" s="161" t="s">
        <v>1324</v>
      </c>
      <c r="H32" s="167"/>
    </row>
    <row r="33" spans="1:8" ht="409.6">
      <c r="A33" s="161" t="s">
        <v>1399</v>
      </c>
      <c r="B33" s="168" t="s">
        <v>1400</v>
      </c>
      <c r="C33" s="161" t="s">
        <v>1263</v>
      </c>
      <c r="D33" s="161" t="s">
        <v>604</v>
      </c>
      <c r="E33" s="161" t="s">
        <v>1401</v>
      </c>
      <c r="F33" s="161" t="s">
        <v>1402</v>
      </c>
      <c r="G33" s="161" t="s">
        <v>1260</v>
      </c>
      <c r="H33" s="167"/>
    </row>
    <row r="34" spans="1:8" ht="48">
      <c r="A34" s="161" t="s">
        <v>1403</v>
      </c>
      <c r="B34" s="168" t="s">
        <v>1404</v>
      </c>
      <c r="C34" s="161" t="s">
        <v>1405</v>
      </c>
      <c r="D34" s="161" t="s">
        <v>604</v>
      </c>
      <c r="E34" s="161" t="s">
        <v>1406</v>
      </c>
      <c r="F34" s="161" t="s">
        <v>1402</v>
      </c>
      <c r="G34" s="161" t="s">
        <v>1260</v>
      </c>
      <c r="H34" s="167"/>
    </row>
    <row r="35" spans="1:8" ht="72">
      <c r="A35" s="161" t="s">
        <v>1407</v>
      </c>
      <c r="B35" s="168" t="s">
        <v>1408</v>
      </c>
      <c r="C35" s="161" t="s">
        <v>1409</v>
      </c>
      <c r="D35" s="161" t="s">
        <v>604</v>
      </c>
      <c r="E35" s="161" t="s">
        <v>1410</v>
      </c>
      <c r="F35" s="161" t="s">
        <v>1402</v>
      </c>
      <c r="G35" s="161" t="s">
        <v>1260</v>
      </c>
      <c r="H35" s="167"/>
    </row>
    <row r="36" spans="1:8" ht="118.5">
      <c r="A36" s="161" t="s">
        <v>1411</v>
      </c>
      <c r="B36" s="168" t="s">
        <v>1412</v>
      </c>
      <c r="C36" s="161" t="s">
        <v>1413</v>
      </c>
      <c r="D36" s="161" t="s">
        <v>1414</v>
      </c>
      <c r="E36" s="161" t="s">
        <v>1415</v>
      </c>
      <c r="F36" s="161" t="s">
        <v>1402</v>
      </c>
      <c r="G36" s="161" t="s">
        <v>1324</v>
      </c>
      <c r="H36" s="167"/>
    </row>
    <row r="37" spans="1:8" ht="130.5">
      <c r="A37" s="161" t="s">
        <v>1416</v>
      </c>
      <c r="B37" s="168" t="s">
        <v>1417</v>
      </c>
      <c r="C37" s="161" t="s">
        <v>1372</v>
      </c>
      <c r="D37" s="161" t="s">
        <v>1418</v>
      </c>
      <c r="E37" s="161" t="s">
        <v>1419</v>
      </c>
      <c r="F37" s="161" t="s">
        <v>1402</v>
      </c>
      <c r="G37" s="161" t="s">
        <v>1420</v>
      </c>
      <c r="H37" s="167"/>
    </row>
    <row r="38" spans="1:8" ht="154.5">
      <c r="A38" s="161" t="s">
        <v>1421</v>
      </c>
      <c r="B38" s="168" t="s">
        <v>1422</v>
      </c>
      <c r="C38" s="161" t="s">
        <v>1423</v>
      </c>
      <c r="D38" s="161" t="s">
        <v>1424</v>
      </c>
      <c r="E38" s="161" t="s">
        <v>1354</v>
      </c>
      <c r="F38" s="161" t="s">
        <v>1402</v>
      </c>
      <c r="G38" s="161" t="s">
        <v>1420</v>
      </c>
      <c r="H38" s="167"/>
    </row>
    <row r="39" spans="1:8" ht="96">
      <c r="A39" s="161" t="s">
        <v>1425</v>
      </c>
      <c r="B39" s="168" t="s">
        <v>1426</v>
      </c>
      <c r="C39" s="161" t="s">
        <v>1427</v>
      </c>
      <c r="D39" s="161" t="s">
        <v>1428</v>
      </c>
      <c r="E39" s="161" t="s">
        <v>1354</v>
      </c>
      <c r="F39" s="161" t="s">
        <v>1402</v>
      </c>
      <c r="G39" s="161" t="s">
        <v>1420</v>
      </c>
      <c r="H39" s="167"/>
    </row>
  </sheetData>
  <autoFilter ref="A1:H39" xr:uid="{EEF03C2A-D41C-4CD2-AE41-B9B76FA0E93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pageSetUpPr fitToPage="1"/>
  </sheetPr>
  <dimension ref="A1:C101"/>
  <sheetViews>
    <sheetView showGridLines="0" workbookViewId="0">
      <selection activeCell="A83" sqref="A83"/>
    </sheetView>
  </sheetViews>
  <sheetFormatPr defaultColWidth="10.85546875" defaultRowHeight="14.25"/>
  <cols>
    <col min="1" max="1" width="16.85546875" style="90" customWidth="1"/>
    <col min="2" max="2" width="14.42578125" style="90" customWidth="1"/>
    <col min="3" max="3" width="101.140625" style="90" customWidth="1"/>
    <col min="4" max="16384" width="10.85546875" style="91"/>
  </cols>
  <sheetData>
    <row r="1" spans="1:3" ht="14.25" customHeight="1">
      <c r="A1" s="200" t="s">
        <v>1429</v>
      </c>
      <c r="B1" s="201"/>
      <c r="C1" s="201"/>
    </row>
    <row r="2" spans="1:3">
      <c r="A2" s="92" t="s">
        <v>1430</v>
      </c>
      <c r="B2" s="92" t="s">
        <v>1430</v>
      </c>
      <c r="C2" s="93" t="s">
        <v>1431</v>
      </c>
    </row>
    <row r="3" spans="1:3" ht="28.5">
      <c r="A3" s="94">
        <v>0</v>
      </c>
      <c r="B3" s="95" t="s">
        <v>1432</v>
      </c>
      <c r="C3" s="102" t="s">
        <v>1433</v>
      </c>
    </row>
    <row r="4" spans="1:3" ht="28.5">
      <c r="A4" s="96">
        <v>1</v>
      </c>
      <c r="B4" s="97" t="s">
        <v>1434</v>
      </c>
      <c r="C4" s="102" t="s">
        <v>1435</v>
      </c>
    </row>
    <row r="5" spans="1:3" ht="28.5">
      <c r="A5" s="98">
        <v>2</v>
      </c>
      <c r="B5" s="99" t="s">
        <v>1436</v>
      </c>
      <c r="C5" s="102" t="s">
        <v>1437</v>
      </c>
    </row>
    <row r="6" spans="1:3" ht="28.5">
      <c r="A6" s="100">
        <v>3</v>
      </c>
      <c r="B6" s="101" t="s">
        <v>1438</v>
      </c>
      <c r="C6" s="102" t="s">
        <v>1439</v>
      </c>
    </row>
    <row r="8" spans="1:3" ht="14.25" customHeight="1">
      <c r="A8" s="200" t="s">
        <v>1440</v>
      </c>
      <c r="B8" s="201"/>
      <c r="C8" s="201"/>
    </row>
    <row r="9" spans="1:3">
      <c r="A9" s="92" t="s">
        <v>1430</v>
      </c>
      <c r="B9" s="92"/>
      <c r="C9" s="93" t="s">
        <v>1441</v>
      </c>
    </row>
    <row r="10" spans="1:3">
      <c r="A10" s="94">
        <v>0</v>
      </c>
      <c r="B10" s="95"/>
      <c r="C10" s="102" t="s">
        <v>1442</v>
      </c>
    </row>
    <row r="11" spans="1:3">
      <c r="A11" s="96">
        <v>1</v>
      </c>
      <c r="B11" s="97"/>
      <c r="C11" s="102" t="s">
        <v>1443</v>
      </c>
    </row>
    <row r="12" spans="1:3">
      <c r="A12" s="98">
        <v>2</v>
      </c>
      <c r="B12" s="99"/>
      <c r="C12" s="102"/>
    </row>
    <row r="13" spans="1:3">
      <c r="A13" s="100">
        <v>3</v>
      </c>
      <c r="B13" s="101"/>
      <c r="C13" s="102" t="s">
        <v>1444</v>
      </c>
    </row>
    <row r="15" spans="1:3" ht="14.25" customHeight="1">
      <c r="A15" s="200" t="s">
        <v>1445</v>
      </c>
      <c r="B15" s="201"/>
      <c r="C15" s="201"/>
    </row>
    <row r="16" spans="1:3">
      <c r="A16" s="92" t="s">
        <v>1430</v>
      </c>
      <c r="B16" s="92"/>
      <c r="C16" s="93" t="s">
        <v>1441</v>
      </c>
    </row>
    <row r="17" spans="1:3">
      <c r="A17" s="94">
        <v>0</v>
      </c>
      <c r="B17" s="95"/>
      <c r="C17" s="102" t="s">
        <v>1446</v>
      </c>
    </row>
    <row r="18" spans="1:3">
      <c r="A18" s="96">
        <v>1</v>
      </c>
      <c r="B18" s="97"/>
      <c r="C18" s="102"/>
    </row>
    <row r="19" spans="1:3">
      <c r="A19" s="98">
        <v>2</v>
      </c>
      <c r="B19" s="99"/>
      <c r="C19" s="102" t="s">
        <v>1447</v>
      </c>
    </row>
    <row r="20" spans="1:3">
      <c r="A20" s="100">
        <v>3</v>
      </c>
      <c r="B20" s="101"/>
      <c r="C20" s="102" t="s">
        <v>1448</v>
      </c>
    </row>
    <row r="22" spans="1:3">
      <c r="A22" s="200" t="s">
        <v>1449</v>
      </c>
      <c r="B22" s="201"/>
      <c r="C22" s="201"/>
    </row>
    <row r="23" spans="1:3">
      <c r="A23" s="92" t="s">
        <v>1430</v>
      </c>
      <c r="B23" s="92"/>
      <c r="C23" s="93" t="s">
        <v>1441</v>
      </c>
    </row>
    <row r="24" spans="1:3">
      <c r="A24" s="94">
        <v>0</v>
      </c>
      <c r="B24" s="95"/>
      <c r="C24" s="102" t="s">
        <v>1450</v>
      </c>
    </row>
    <row r="25" spans="1:3">
      <c r="A25" s="96">
        <v>1</v>
      </c>
      <c r="B25" s="97"/>
      <c r="C25" s="102" t="s">
        <v>1451</v>
      </c>
    </row>
    <row r="26" spans="1:3">
      <c r="A26" s="98">
        <v>2</v>
      </c>
      <c r="B26" s="99"/>
      <c r="C26" s="102" t="s">
        <v>1452</v>
      </c>
    </row>
    <row r="27" spans="1:3">
      <c r="A27" s="100">
        <v>3</v>
      </c>
      <c r="B27" s="101"/>
      <c r="C27" s="102" t="s">
        <v>1453</v>
      </c>
    </row>
    <row r="29" spans="1:3">
      <c r="A29" s="200" t="s">
        <v>1454</v>
      </c>
      <c r="B29" s="201"/>
      <c r="C29" s="201"/>
    </row>
    <row r="30" spans="1:3">
      <c r="A30" s="92" t="s">
        <v>1430</v>
      </c>
      <c r="B30" s="92"/>
      <c r="C30" s="93" t="s">
        <v>1441</v>
      </c>
    </row>
    <row r="31" spans="1:3" ht="28.5">
      <c r="A31" s="94">
        <v>0</v>
      </c>
      <c r="B31" s="95"/>
      <c r="C31" s="102" t="s">
        <v>1455</v>
      </c>
    </row>
    <row r="32" spans="1:3" ht="28.5">
      <c r="A32" s="96">
        <v>1</v>
      </c>
      <c r="B32" s="97"/>
      <c r="C32" s="102" t="s">
        <v>1456</v>
      </c>
    </row>
    <row r="33" spans="1:3">
      <c r="A33" s="98">
        <v>2</v>
      </c>
      <c r="B33" s="99"/>
      <c r="C33" s="102" t="s">
        <v>1457</v>
      </c>
    </row>
    <row r="34" spans="1:3">
      <c r="A34" s="100">
        <v>3</v>
      </c>
      <c r="B34" s="101"/>
      <c r="C34" s="102" t="s">
        <v>1458</v>
      </c>
    </row>
    <row r="36" spans="1:3">
      <c r="A36" s="200" t="s">
        <v>1459</v>
      </c>
      <c r="B36" s="201"/>
      <c r="C36" s="201"/>
    </row>
    <row r="37" spans="1:3">
      <c r="A37" s="92" t="s">
        <v>1430</v>
      </c>
      <c r="B37" s="92"/>
      <c r="C37" s="93" t="s">
        <v>1441</v>
      </c>
    </row>
    <row r="38" spans="1:3">
      <c r="A38" s="94">
        <v>0</v>
      </c>
      <c r="B38" s="95"/>
      <c r="C38" s="102" t="s">
        <v>1460</v>
      </c>
    </row>
    <row r="39" spans="1:3">
      <c r="A39" s="96">
        <v>1</v>
      </c>
      <c r="B39" s="97"/>
      <c r="C39" s="102" t="s">
        <v>1461</v>
      </c>
    </row>
    <row r="40" spans="1:3">
      <c r="A40" s="98">
        <v>2</v>
      </c>
      <c r="B40" s="99"/>
      <c r="C40" s="102" t="s">
        <v>1462</v>
      </c>
    </row>
    <row r="41" spans="1:3" ht="28.5">
      <c r="A41" s="100">
        <v>3</v>
      </c>
      <c r="B41" s="101"/>
      <c r="C41" s="102" t="s">
        <v>1463</v>
      </c>
    </row>
    <row r="43" spans="1:3">
      <c r="A43" s="200" t="s">
        <v>1464</v>
      </c>
      <c r="B43" s="201"/>
      <c r="C43" s="201"/>
    </row>
    <row r="44" spans="1:3">
      <c r="A44" s="92" t="s">
        <v>1430</v>
      </c>
      <c r="B44" s="92"/>
      <c r="C44" s="93" t="s">
        <v>1441</v>
      </c>
    </row>
    <row r="45" spans="1:3">
      <c r="A45" s="94">
        <v>0</v>
      </c>
      <c r="B45" s="95"/>
      <c r="C45" s="102" t="s">
        <v>1465</v>
      </c>
    </row>
    <row r="46" spans="1:3">
      <c r="A46" s="96">
        <v>1</v>
      </c>
      <c r="B46" s="97"/>
      <c r="C46" s="102" t="s">
        <v>1466</v>
      </c>
    </row>
    <row r="47" spans="1:3">
      <c r="A47" s="98">
        <v>2</v>
      </c>
      <c r="B47" s="99"/>
      <c r="C47" s="102" t="s">
        <v>1467</v>
      </c>
    </row>
    <row r="48" spans="1:3" ht="28.5">
      <c r="A48" s="100">
        <v>3</v>
      </c>
      <c r="B48" s="101"/>
      <c r="C48" s="102" t="s">
        <v>1468</v>
      </c>
    </row>
    <row r="50" spans="1:3">
      <c r="A50" s="200" t="s">
        <v>1469</v>
      </c>
      <c r="B50" s="201"/>
      <c r="C50" s="201"/>
    </row>
    <row r="51" spans="1:3">
      <c r="A51" s="92" t="s">
        <v>1430</v>
      </c>
      <c r="B51" s="92"/>
      <c r="C51" s="93" t="s">
        <v>1441</v>
      </c>
    </row>
    <row r="52" spans="1:3" ht="28.5">
      <c r="A52" s="94">
        <v>0</v>
      </c>
      <c r="B52" s="95"/>
      <c r="C52" s="102" t="s">
        <v>1470</v>
      </c>
    </row>
    <row r="53" spans="1:3" ht="28.5">
      <c r="A53" s="96">
        <v>1</v>
      </c>
      <c r="B53" s="97"/>
      <c r="C53" s="102" t="s">
        <v>1471</v>
      </c>
    </row>
    <row r="54" spans="1:3">
      <c r="A54" s="98">
        <v>2</v>
      </c>
      <c r="B54" s="99"/>
      <c r="C54" s="102" t="s">
        <v>1472</v>
      </c>
    </row>
    <row r="55" spans="1:3">
      <c r="A55" s="100">
        <v>3</v>
      </c>
      <c r="B55" s="101"/>
      <c r="C55" s="102" t="s">
        <v>1473</v>
      </c>
    </row>
    <row r="57" spans="1:3">
      <c r="A57" s="200" t="s">
        <v>1474</v>
      </c>
      <c r="B57" s="201"/>
      <c r="C57" s="201"/>
    </row>
    <row r="58" spans="1:3">
      <c r="A58" s="92" t="s">
        <v>1430</v>
      </c>
      <c r="B58" s="92"/>
      <c r="C58" s="93" t="s">
        <v>1441</v>
      </c>
    </row>
    <row r="59" spans="1:3" ht="28.5">
      <c r="A59" s="94">
        <v>0</v>
      </c>
      <c r="B59" s="95"/>
      <c r="C59" s="102" t="s">
        <v>1475</v>
      </c>
    </row>
    <row r="60" spans="1:3">
      <c r="A60" s="96">
        <v>1</v>
      </c>
      <c r="B60" s="97"/>
      <c r="C60" s="102" t="s">
        <v>1476</v>
      </c>
    </row>
    <row r="61" spans="1:3">
      <c r="A61" s="98">
        <v>2</v>
      </c>
      <c r="B61" s="99"/>
      <c r="C61" s="102" t="s">
        <v>1477</v>
      </c>
    </row>
    <row r="62" spans="1:3">
      <c r="A62" s="100">
        <v>3</v>
      </c>
      <c r="B62" s="101"/>
      <c r="C62" s="102" t="s">
        <v>1478</v>
      </c>
    </row>
    <row r="64" spans="1:3">
      <c r="A64" s="200" t="s">
        <v>1479</v>
      </c>
      <c r="B64" s="201"/>
      <c r="C64" s="201"/>
    </row>
    <row r="65" spans="1:3">
      <c r="A65" s="92" t="s">
        <v>1430</v>
      </c>
      <c r="B65" s="92"/>
      <c r="C65" s="93" t="s">
        <v>1441</v>
      </c>
    </row>
    <row r="66" spans="1:3">
      <c r="A66" s="94">
        <v>0</v>
      </c>
      <c r="B66" s="95"/>
      <c r="C66" s="102" t="s">
        <v>1480</v>
      </c>
    </row>
    <row r="67" spans="1:3">
      <c r="A67" s="96">
        <v>1</v>
      </c>
      <c r="B67" s="97"/>
      <c r="C67" s="102" t="s">
        <v>1481</v>
      </c>
    </row>
    <row r="68" spans="1:3" ht="28.5">
      <c r="A68" s="98">
        <v>2</v>
      </c>
      <c r="B68" s="99"/>
      <c r="C68" s="102" t="s">
        <v>1482</v>
      </c>
    </row>
    <row r="69" spans="1:3">
      <c r="A69" s="100">
        <v>3</v>
      </c>
      <c r="B69" s="101"/>
      <c r="C69" s="102" t="s">
        <v>1483</v>
      </c>
    </row>
    <row r="71" spans="1:3">
      <c r="A71" s="200" t="s">
        <v>1484</v>
      </c>
      <c r="B71" s="201"/>
      <c r="C71" s="201"/>
    </row>
    <row r="72" spans="1:3">
      <c r="A72" s="92" t="s">
        <v>1430</v>
      </c>
      <c r="B72" s="92"/>
      <c r="C72" s="93" t="s">
        <v>1441</v>
      </c>
    </row>
    <row r="73" spans="1:3">
      <c r="A73" s="94">
        <v>0</v>
      </c>
      <c r="B73" s="95"/>
      <c r="C73" s="102" t="s">
        <v>1485</v>
      </c>
    </row>
    <row r="74" spans="1:3">
      <c r="A74" s="96">
        <v>1</v>
      </c>
      <c r="B74" s="97"/>
      <c r="C74" s="102" t="s">
        <v>1486</v>
      </c>
    </row>
    <row r="75" spans="1:3">
      <c r="A75" s="98">
        <v>2</v>
      </c>
      <c r="B75" s="99"/>
      <c r="C75" s="102" t="s">
        <v>1487</v>
      </c>
    </row>
    <row r="76" spans="1:3">
      <c r="A76" s="100">
        <v>3</v>
      </c>
      <c r="B76" s="101"/>
      <c r="C76" s="102" t="s">
        <v>1488</v>
      </c>
    </row>
    <row r="78" spans="1:3">
      <c r="A78" s="200" t="s">
        <v>1489</v>
      </c>
      <c r="B78" s="201"/>
      <c r="C78" s="201"/>
    </row>
    <row r="79" spans="1:3">
      <c r="A79" s="92" t="s">
        <v>1430</v>
      </c>
      <c r="B79" s="92"/>
      <c r="C79" s="93" t="s">
        <v>1441</v>
      </c>
    </row>
    <row r="80" spans="1:3">
      <c r="A80" s="94" t="s">
        <v>1490</v>
      </c>
      <c r="B80" s="95"/>
      <c r="C80" s="102" t="s">
        <v>1491</v>
      </c>
    </row>
    <row r="81" spans="1:3">
      <c r="A81" s="96" t="s">
        <v>1492</v>
      </c>
      <c r="B81" s="97"/>
      <c r="C81" s="102" t="s">
        <v>1493</v>
      </c>
    </row>
    <row r="82" spans="1:3">
      <c r="A82" s="98" t="s">
        <v>1494</v>
      </c>
      <c r="B82" s="99"/>
      <c r="C82" s="102" t="s">
        <v>1495</v>
      </c>
    </row>
    <row r="83" spans="1:3">
      <c r="A83" s="100" t="s">
        <v>1496</v>
      </c>
      <c r="B83" s="101"/>
      <c r="C83" s="102" t="s">
        <v>1497</v>
      </c>
    </row>
    <row r="85" spans="1:3">
      <c r="A85" s="200" t="s">
        <v>1498</v>
      </c>
      <c r="B85" s="201"/>
      <c r="C85" s="201"/>
    </row>
    <row r="86" spans="1:3">
      <c r="A86" s="92" t="s">
        <v>1430</v>
      </c>
      <c r="B86" s="92"/>
      <c r="C86" s="93" t="s">
        <v>1441</v>
      </c>
    </row>
    <row r="87" spans="1:3">
      <c r="A87" s="94">
        <v>0</v>
      </c>
      <c r="B87" s="95"/>
      <c r="C87" s="102" t="s">
        <v>1499</v>
      </c>
    </row>
    <row r="88" spans="1:3">
      <c r="A88" s="96">
        <v>1</v>
      </c>
      <c r="B88" s="97"/>
      <c r="C88" s="102" t="s">
        <v>1500</v>
      </c>
    </row>
    <row r="89" spans="1:3">
      <c r="A89" s="98">
        <v>2</v>
      </c>
      <c r="B89" s="99"/>
      <c r="C89" s="102" t="s">
        <v>1501</v>
      </c>
    </row>
    <row r="90" spans="1:3">
      <c r="A90" s="100">
        <v>3</v>
      </c>
      <c r="B90" s="101"/>
      <c r="C90" s="102" t="s">
        <v>1502</v>
      </c>
    </row>
    <row r="92" spans="1:3">
      <c r="A92" s="200" t="s">
        <v>1503</v>
      </c>
      <c r="B92" s="201"/>
      <c r="C92" s="201"/>
    </row>
    <row r="93" spans="1:3" ht="42.75">
      <c r="A93" s="102" t="s">
        <v>1504</v>
      </c>
      <c r="B93" s="102"/>
      <c r="C93" s="102" t="s">
        <v>1505</v>
      </c>
    </row>
    <row r="94" spans="1:3" ht="57">
      <c r="A94" s="102" t="s">
        <v>1506</v>
      </c>
      <c r="B94" s="102"/>
      <c r="C94" s="102" t="s">
        <v>1507</v>
      </c>
    </row>
    <row r="95" spans="1:3" ht="42.75">
      <c r="A95" s="102" t="s">
        <v>1508</v>
      </c>
      <c r="B95" s="102"/>
      <c r="C95" s="102" t="s">
        <v>1509</v>
      </c>
    </row>
    <row r="96" spans="1:3" ht="42.75">
      <c r="A96" s="102" t="s">
        <v>1510</v>
      </c>
      <c r="B96" s="102"/>
      <c r="C96" s="102" t="s">
        <v>1511</v>
      </c>
    </row>
    <row r="97" spans="1:3" ht="71.25">
      <c r="A97" s="102" t="s">
        <v>1512</v>
      </c>
      <c r="B97" s="102"/>
      <c r="C97" s="102" t="s">
        <v>1513</v>
      </c>
    </row>
    <row r="98" spans="1:3" ht="28.5">
      <c r="A98" s="102" t="s">
        <v>1514</v>
      </c>
      <c r="B98" s="102"/>
      <c r="C98" s="102" t="s">
        <v>1515</v>
      </c>
    </row>
    <row r="99" spans="1:3" ht="42.75">
      <c r="A99" s="102" t="s">
        <v>1516</v>
      </c>
      <c r="B99" s="102"/>
      <c r="C99" s="102" t="s">
        <v>1517</v>
      </c>
    </row>
    <row r="100" spans="1:3" ht="28.5">
      <c r="A100" s="102" t="s">
        <v>1518</v>
      </c>
      <c r="B100" s="102"/>
      <c r="C100" s="102" t="s">
        <v>1519</v>
      </c>
    </row>
    <row r="101" spans="1:3" ht="28.5">
      <c r="A101" s="102" t="s">
        <v>1520</v>
      </c>
      <c r="B101" s="102"/>
      <c r="C101" s="102" t="s">
        <v>1521</v>
      </c>
    </row>
  </sheetData>
  <mergeCells count="14">
    <mergeCell ref="A71:C71"/>
    <mergeCell ref="A78:C78"/>
    <mergeCell ref="A85:C85"/>
    <mergeCell ref="A92:C92"/>
    <mergeCell ref="A36:C36"/>
    <mergeCell ref="A43:C43"/>
    <mergeCell ref="A50:C50"/>
    <mergeCell ref="A57:C57"/>
    <mergeCell ref="A64:C64"/>
    <mergeCell ref="A1:C1"/>
    <mergeCell ref="A8:C8"/>
    <mergeCell ref="A15:C15"/>
    <mergeCell ref="A22:C22"/>
    <mergeCell ref="A29:C29"/>
  </mergeCells>
  <pageMargins left="0.25" right="0.25" top="0.75" bottom="0.75" header="0.3" footer="0.3"/>
  <pageSetup scale="78" fitToHeight="0" orientation="portrait" r:id="rId1"/>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dca0a07-2447-4e03-9ede-943126d82d76">
      <Terms xmlns="http://schemas.microsoft.com/office/infopath/2007/PartnerControls"/>
    </lcf76f155ced4ddcb4097134ff3c332f>
    <TaxCatchAll xmlns="24724a14-f3bc-46d5-99ee-5ea17a5ffbd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8351768566EDC4FBC6E757686D2004F" ma:contentTypeVersion="11" ma:contentTypeDescription="Create a new document." ma:contentTypeScope="" ma:versionID="c15013434a03f3e082cf17ecf3cfbcae">
  <xsd:schema xmlns:xsd="http://www.w3.org/2001/XMLSchema" xmlns:xs="http://www.w3.org/2001/XMLSchema" xmlns:p="http://schemas.microsoft.com/office/2006/metadata/properties" xmlns:ns2="4dca0a07-2447-4e03-9ede-943126d82d76" xmlns:ns3="24724a14-f3bc-46d5-99ee-5ea17a5ffbd3" targetNamespace="http://schemas.microsoft.com/office/2006/metadata/properties" ma:root="true" ma:fieldsID="3e31d7f5343ee0e2e9c10048687ab29b" ns2:_="" ns3:_="">
    <xsd:import namespace="4dca0a07-2447-4e03-9ede-943126d82d76"/>
    <xsd:import namespace="24724a14-f3bc-46d5-99ee-5ea17a5ffbd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ca0a07-2447-4e03-9ede-943126d82d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77658c6-733e-4646-9e8a-73ca6787810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4724a14-f3bc-46d5-99ee-5ea17a5ffbd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321a6d-77f4-4926-a93c-e6aac5b6e9b2}" ma:internalName="TaxCatchAll" ma:showField="CatchAllData" ma:web="24724a14-f3bc-46d5-99ee-5ea17a5ffb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43D851-C535-4D8A-969D-6011770E456C}"/>
</file>

<file path=customXml/itemProps2.xml><?xml version="1.0" encoding="utf-8"?>
<ds:datastoreItem xmlns:ds="http://schemas.openxmlformats.org/officeDocument/2006/customXml" ds:itemID="{913A173C-D0A4-4AB7-BB7E-F9A5F4AF7F26}"/>
</file>

<file path=customXml/itemProps3.xml><?xml version="1.0" encoding="utf-8"?>
<ds:datastoreItem xmlns:ds="http://schemas.openxmlformats.org/officeDocument/2006/customXml" ds:itemID="{EFF6A725-7DF4-4CE1-B44F-E9423BDEFC6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Katell COCHET</dc:creator>
  <cp:keywords/>
  <dc:description/>
  <cp:lastModifiedBy>Olivier BURBAN</cp:lastModifiedBy>
  <cp:revision/>
  <dcterms:created xsi:type="dcterms:W3CDTF">2018-03-27T09:37:20Z</dcterms:created>
  <dcterms:modified xsi:type="dcterms:W3CDTF">2026-08-20T12:12:47Z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0x01010048351768566EDC4FBC6E757686D2004F</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MSIP_Label_4c0404fc-6473-4a1b-a546-0d3ef1d13419_Enabled">
    <vt:lpwstr>true</vt:lpwstr>
  </property>
  <property fmtid="{D5CDD505-2E9C-101B-9397-08002B2CF9AE}" pid="11" name="MSIP_Label_4c0404fc-6473-4a1b-a546-0d3ef1d13419_SetDate">
    <vt:lpwstr>2026-05-18T09:12:16Z</vt:lpwstr>
  </property>
  <property fmtid="{D5CDD505-2E9C-101B-9397-08002B2CF9AE}" pid="12" name="MSIP_Label_4c0404fc-6473-4a1b-a546-0d3ef1d13419_Method">
    <vt:lpwstr>Standard</vt:lpwstr>
  </property>
  <property fmtid="{D5CDD505-2E9C-101B-9397-08002B2CF9AE}" pid="13" name="MSIP_Label_4c0404fc-6473-4a1b-a546-0d3ef1d13419_Name">
    <vt:lpwstr>test_confidentiel</vt:lpwstr>
  </property>
  <property fmtid="{D5CDD505-2E9C-101B-9397-08002B2CF9AE}" pid="14" name="MSIP_Label_4c0404fc-6473-4a1b-a546-0d3ef1d13419_SiteId">
    <vt:lpwstr>07cdf6c2-b866-4ffc-a7cf-eaeb75545f95</vt:lpwstr>
  </property>
  <property fmtid="{D5CDD505-2E9C-101B-9397-08002B2CF9AE}" pid="15" name="MSIP_Label_4c0404fc-6473-4a1b-a546-0d3ef1d13419_ActionId">
    <vt:lpwstr>8bea5be3-b60e-407f-8f05-553e3774b270</vt:lpwstr>
  </property>
  <property fmtid="{D5CDD505-2E9C-101B-9397-08002B2CF9AE}" pid="16" name="MSIP_Label_4c0404fc-6473-4a1b-a546-0d3ef1d13419_ContentBits">
    <vt:lpwstr>0</vt:lpwstr>
  </property>
  <property fmtid="{D5CDD505-2E9C-101B-9397-08002B2CF9AE}" pid="17" name="MSIP_Label_4c0404fc-6473-4a1b-a546-0d3ef1d13419_Tag">
    <vt:lpwstr>10, 3, 0, 2</vt:lpwstr>
  </property>
</Properties>
</file>